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rideconveyancesys-my.sharepoint.com/personal/jwalker0217_roeslein_com/Documents/"/>
    </mc:Choice>
  </mc:AlternateContent>
  <xr:revisionPtr revIDLastSave="2545" documentId="8_{F41BB17E-1E18-4FFF-A281-F34E901F7D21}" xr6:coauthVersionLast="47" xr6:coauthVersionMax="47" xr10:uidLastSave="{3DADC3F3-94CB-4C05-A91B-747032AB9875}"/>
  <bookViews>
    <workbookView xWindow="-120" yWindow="-120" windowWidth="29040" windowHeight="15840" activeTab="2" xr2:uid="{20F60F80-D924-4CC6-A67F-309133931368}"/>
  </bookViews>
  <sheets>
    <sheet name="Test Results" sheetId="9" r:id="rId1"/>
    <sheet name="Main" sheetId="1" r:id="rId2"/>
    <sheet name="Pivot Tables" sheetId="7" r:id="rId3"/>
    <sheet name="Summary" sheetId="10" r:id="rId4"/>
    <sheet name="VOID" sheetId="11" r:id="rId5"/>
  </sheets>
  <externalReferences>
    <externalReference r:id="rId6"/>
  </externalReferences>
  <definedNames>
    <definedName name="All_Lamps">[1]!Table25[Lamp Series]</definedName>
    <definedName name="All_PPF_Range">[1]!All_PPF[#All]</definedName>
    <definedName name="DataFields">[1]!MasterData[#Headers]</definedName>
    <definedName name="Lamps">_xlfn.UNIQUE([1]!MasterData[Lamp])</definedName>
    <definedName name="NominalPowers">_xlfn.UNIQUE([1]!MasterData[Nominal Power (W)])</definedName>
    <definedName name="PresscoNomIrr">'[1]Master Data Table'!$P$13</definedName>
    <definedName name="Speed15">[1]Theoretical!#REF!</definedName>
    <definedName name="Speeds">_xlfn.UNIQUE([1]!MasterData[Speed (ft/min)])</definedName>
    <definedName name="TestEval">EVALUATE([1]Theoretical!XFA1048571)</definedName>
    <definedName name="TestTypes">_xlfn.UNIQUE([1]!MasterData[Test Type])</definedName>
    <definedName name="UseTheoretical">'[1]Master Data Table'!$V$10</definedName>
    <definedName name="Varnishes">_xlfn.UNIQUE([1]!MasterData[Varnish])</definedName>
    <definedName name="Wavelengths">_xlfn.UNIQUE([1]!MasterData[Wavelength (nm)])</definedName>
  </definedNames>
  <calcPr calcId="191029"/>
  <pivotCaches>
    <pivotCache cacheId="1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10" l="1" a="1"/>
  <c r="J7" i="10" s="1"/>
  <c r="K12" i="10" s="1"/>
  <c r="T23" i="10" a="1"/>
  <c r="T23" i="10" s="1"/>
  <c r="U12" i="10"/>
  <c r="K23" i="10"/>
  <c r="S25" i="10"/>
  <c r="S14" i="10"/>
  <c r="I25" i="10"/>
  <c r="S24" i="10" a="1"/>
  <c r="S24" i="10" s="1"/>
  <c r="R24" i="10" a="1"/>
  <c r="R24" i="10" s="1"/>
  <c r="Q24" i="10" a="1"/>
  <c r="Q24" i="10" s="1"/>
  <c r="P24" i="10" a="1"/>
  <c r="P24" i="10" s="1"/>
  <c r="O24" i="10" a="1"/>
  <c r="O24" i="10" s="1"/>
  <c r="J23" i="10" a="1"/>
  <c r="J23" i="10" s="1"/>
  <c r="J21" i="10" a="1"/>
  <c r="J21" i="10" s="1"/>
  <c r="J22" i="10" a="1"/>
  <c r="J22" i="10" s="1"/>
  <c r="J20" i="10" a="1"/>
  <c r="J20" i="10" s="1"/>
  <c r="I24" i="10" a="1"/>
  <c r="I24" i="10" s="1"/>
  <c r="H24" i="10" a="1"/>
  <c r="H24" i="10" s="1"/>
  <c r="G24" i="10" a="1"/>
  <c r="G24" i="10" s="1"/>
  <c r="F24" i="10" a="1"/>
  <c r="F24" i="10" s="1"/>
  <c r="E24" i="10" a="1"/>
  <c r="E24" i="10" s="1"/>
  <c r="G13" i="10" a="1"/>
  <c r="G13" i="10" s="1"/>
  <c r="F13" i="10" a="1"/>
  <c r="F13" i="10" s="1"/>
  <c r="E13" i="10" a="1"/>
  <c r="E13" i="10" s="1"/>
  <c r="O13" i="10" a="1"/>
  <c r="O13" i="10" s="1"/>
  <c r="S13" i="10" a="1"/>
  <c r="S13" i="10" s="1"/>
  <c r="R13" i="10" a="1"/>
  <c r="R13" i="10" s="1"/>
  <c r="Q13" i="10" a="1"/>
  <c r="Q13" i="10"/>
  <c r="P13" i="10" a="1"/>
  <c r="P13" i="10" s="1"/>
  <c r="T12" i="10" a="1"/>
  <c r="T12" i="10" s="1"/>
  <c r="T11" i="10" a="1"/>
  <c r="T11" i="10" s="1"/>
  <c r="H13" i="10" a="1"/>
  <c r="H13" i="10" s="1"/>
  <c r="I13" i="10" a="1"/>
  <c r="I13" i="10" s="1"/>
  <c r="J12" i="10" a="1"/>
  <c r="J12" i="10" s="1"/>
  <c r="J11" i="10" a="1"/>
  <c r="J11" i="10" s="1"/>
  <c r="J10" i="10" a="1"/>
  <c r="J10" i="10" s="1"/>
  <c r="J9" i="10" a="1"/>
  <c r="J9" i="10" s="1"/>
  <c r="J8" i="10" a="1"/>
  <c r="J8" i="10" s="1"/>
  <c r="W84" i="1"/>
  <c r="AA84" i="1" s="1"/>
  <c r="H84" i="1"/>
  <c r="L84" i="1" s="1"/>
  <c r="I84" i="1"/>
  <c r="M84" i="1" s="1"/>
  <c r="J84" i="1"/>
  <c r="N84" i="1" s="1"/>
  <c r="Z84" i="1"/>
  <c r="AB84" i="1" s="1"/>
  <c r="X31" i="1"/>
  <c r="X45" i="1"/>
  <c r="X29" i="1"/>
  <c r="X30" i="1"/>
  <c r="X42" i="1"/>
  <c r="X28" i="1"/>
  <c r="AB28" i="1" s="1"/>
  <c r="X39" i="1"/>
  <c r="X27" i="1"/>
  <c r="X55" i="1"/>
  <c r="X26" i="1"/>
  <c r="X50" i="1"/>
  <c r="X48" i="1"/>
  <c r="X46" i="1"/>
  <c r="X36" i="1"/>
  <c r="AB36" i="1" s="1"/>
  <c r="X43" i="1"/>
  <c r="X35" i="1"/>
  <c r="X40" i="1"/>
  <c r="X34" i="1"/>
  <c r="X56" i="1"/>
  <c r="X51" i="1"/>
  <c r="X38" i="1"/>
  <c r="X37" i="1"/>
  <c r="X49" i="1"/>
  <c r="X33" i="1"/>
  <c r="X47" i="1"/>
  <c r="X73" i="1"/>
  <c r="X44" i="1"/>
  <c r="X32" i="1"/>
  <c r="X70" i="1"/>
  <c r="X41" i="1"/>
  <c r="X57" i="1"/>
  <c r="X52" i="1"/>
  <c r="X74" i="1"/>
  <c r="X71" i="1"/>
  <c r="X58" i="1"/>
  <c r="X53" i="1"/>
  <c r="X75" i="1"/>
  <c r="X72" i="1"/>
  <c r="AB72" i="1" s="1"/>
  <c r="X59" i="1"/>
  <c r="X54" i="1"/>
  <c r="X81" i="1"/>
  <c r="X76" i="1"/>
  <c r="X65" i="1"/>
  <c r="X60" i="1"/>
  <c r="X82" i="1"/>
  <c r="X77" i="1"/>
  <c r="X66" i="1"/>
  <c r="X61" i="1"/>
  <c r="X83" i="1"/>
  <c r="X78" i="1"/>
  <c r="X67" i="1"/>
  <c r="X62" i="1"/>
  <c r="X79" i="1"/>
  <c r="X68" i="1"/>
  <c r="X63" i="1"/>
  <c r="X80" i="1"/>
  <c r="X69" i="1"/>
  <c r="X64" i="1"/>
  <c r="Y31" i="1"/>
  <c r="Y45" i="1"/>
  <c r="Y29" i="1"/>
  <c r="Y30" i="1"/>
  <c r="Y42" i="1"/>
  <c r="Y28" i="1"/>
  <c r="Y39" i="1"/>
  <c r="Y27" i="1"/>
  <c r="Y55" i="1"/>
  <c r="Y26" i="1"/>
  <c r="Y50" i="1"/>
  <c r="Y48" i="1"/>
  <c r="Y46" i="1"/>
  <c r="Y36" i="1"/>
  <c r="Y43" i="1"/>
  <c r="Y35" i="1"/>
  <c r="Y40" i="1"/>
  <c r="Y34" i="1"/>
  <c r="Y56" i="1"/>
  <c r="Y51" i="1"/>
  <c r="Y38" i="1"/>
  <c r="Y37" i="1"/>
  <c r="Y49" i="1"/>
  <c r="Y33" i="1"/>
  <c r="Y47" i="1"/>
  <c r="Y73" i="1"/>
  <c r="Y44" i="1"/>
  <c r="Y32" i="1"/>
  <c r="Y70" i="1"/>
  <c r="Y41" i="1"/>
  <c r="Y57" i="1"/>
  <c r="Y52" i="1"/>
  <c r="Y74" i="1"/>
  <c r="Y71" i="1"/>
  <c r="Y58" i="1"/>
  <c r="Y53" i="1"/>
  <c r="Y75" i="1"/>
  <c r="Y72" i="1"/>
  <c r="Y59" i="1"/>
  <c r="Y54" i="1"/>
  <c r="Y81" i="1"/>
  <c r="Y76" i="1"/>
  <c r="Y65" i="1"/>
  <c r="Y60" i="1"/>
  <c r="Y82" i="1"/>
  <c r="Y77" i="1"/>
  <c r="Y66" i="1"/>
  <c r="Y61" i="1"/>
  <c r="Y83" i="1"/>
  <c r="Y78" i="1"/>
  <c r="Y67" i="1"/>
  <c r="Y62" i="1"/>
  <c r="Y79" i="1"/>
  <c r="Y68" i="1"/>
  <c r="Y63" i="1"/>
  <c r="Y80" i="1"/>
  <c r="Y69" i="1"/>
  <c r="Y64" i="1"/>
  <c r="U31" i="1"/>
  <c r="U45" i="1"/>
  <c r="U29" i="1"/>
  <c r="U30" i="1"/>
  <c r="U42" i="1"/>
  <c r="U28" i="1"/>
  <c r="U39" i="1"/>
  <c r="U27" i="1"/>
  <c r="U55" i="1"/>
  <c r="U26" i="1"/>
  <c r="AA26" i="1" s="1"/>
  <c r="U50" i="1"/>
  <c r="U48" i="1"/>
  <c r="U46" i="1"/>
  <c r="U36" i="1"/>
  <c r="U43" i="1"/>
  <c r="U35" i="1"/>
  <c r="U40" i="1"/>
  <c r="U34" i="1"/>
  <c r="AA34" i="1" s="1"/>
  <c r="U56" i="1"/>
  <c r="U51" i="1"/>
  <c r="U38" i="1"/>
  <c r="U37" i="1"/>
  <c r="U49" i="1"/>
  <c r="U33" i="1"/>
  <c r="U47" i="1"/>
  <c r="U73" i="1"/>
  <c r="U44" i="1"/>
  <c r="U32" i="1"/>
  <c r="U70" i="1"/>
  <c r="AA70" i="1" s="1"/>
  <c r="U41" i="1"/>
  <c r="U57" i="1"/>
  <c r="U52" i="1"/>
  <c r="U74" i="1"/>
  <c r="U71" i="1"/>
  <c r="AA71" i="1" s="1"/>
  <c r="U58" i="1"/>
  <c r="U53" i="1"/>
  <c r="U75" i="1"/>
  <c r="AA75" i="1" s="1"/>
  <c r="U72" i="1"/>
  <c r="U59" i="1"/>
  <c r="U54" i="1"/>
  <c r="U81" i="1"/>
  <c r="U76" i="1"/>
  <c r="AA76" i="1" s="1"/>
  <c r="U65" i="1"/>
  <c r="U60" i="1"/>
  <c r="U82" i="1"/>
  <c r="U77" i="1"/>
  <c r="U66" i="1"/>
  <c r="U61" i="1"/>
  <c r="U83" i="1"/>
  <c r="U78" i="1"/>
  <c r="U67" i="1"/>
  <c r="U62" i="1"/>
  <c r="U79" i="1"/>
  <c r="AA79" i="1" s="1"/>
  <c r="U68" i="1"/>
  <c r="U63" i="1"/>
  <c r="U80" i="1"/>
  <c r="U69" i="1"/>
  <c r="U64" i="1"/>
  <c r="AA64" i="1" s="1"/>
  <c r="V45" i="1"/>
  <c r="V31" i="1"/>
  <c r="V29" i="1"/>
  <c r="V30" i="1"/>
  <c r="V42" i="1"/>
  <c r="V28" i="1"/>
  <c r="V81" i="1"/>
  <c r="V39" i="1"/>
  <c r="V27" i="1"/>
  <c r="V76" i="1"/>
  <c r="V55" i="1"/>
  <c r="V26" i="1"/>
  <c r="V65" i="1"/>
  <c r="V50" i="1"/>
  <c r="V60" i="1"/>
  <c r="V48" i="1"/>
  <c r="V46" i="1"/>
  <c r="V36" i="1"/>
  <c r="V43" i="1"/>
  <c r="V35" i="1"/>
  <c r="V82" i="1"/>
  <c r="V40" i="1"/>
  <c r="V34" i="1"/>
  <c r="V56" i="1"/>
  <c r="V77" i="1"/>
  <c r="V66" i="1"/>
  <c r="V51" i="1"/>
  <c r="V61" i="1"/>
  <c r="V38" i="1"/>
  <c r="V37" i="1"/>
  <c r="V49" i="1"/>
  <c r="V33" i="1"/>
  <c r="V47" i="1"/>
  <c r="V73" i="1"/>
  <c r="V44" i="1"/>
  <c r="V32" i="1"/>
  <c r="V83" i="1"/>
  <c r="V70" i="1"/>
  <c r="V41" i="1"/>
  <c r="V78" i="1"/>
  <c r="V57" i="1"/>
  <c r="V67" i="1"/>
  <c r="V52" i="1"/>
  <c r="V62" i="1"/>
  <c r="V74" i="1"/>
  <c r="V71" i="1"/>
  <c r="V79" i="1"/>
  <c r="V58" i="1"/>
  <c r="V68" i="1"/>
  <c r="V53" i="1"/>
  <c r="V63" i="1"/>
  <c r="V75" i="1"/>
  <c r="V72" i="1"/>
  <c r="V59" i="1"/>
  <c r="V80" i="1"/>
  <c r="V69" i="1"/>
  <c r="AA69" i="1" s="1"/>
  <c r="V54" i="1"/>
  <c r="V64" i="1"/>
  <c r="H83" i="1"/>
  <c r="L83" i="1" s="1"/>
  <c r="P83" i="1" s="1"/>
  <c r="I83" i="1"/>
  <c r="M83" i="1" s="1"/>
  <c r="J83" i="1"/>
  <c r="N83" i="1" s="1"/>
  <c r="W83" i="1"/>
  <c r="Z83" i="1"/>
  <c r="H82" i="1"/>
  <c r="L82" i="1" s="1"/>
  <c r="P82" i="1" s="1"/>
  <c r="I82" i="1"/>
  <c r="J82" i="1"/>
  <c r="N82" i="1" s="1"/>
  <c r="W82" i="1"/>
  <c r="Z82" i="1"/>
  <c r="H81" i="1"/>
  <c r="L81" i="1" s="1"/>
  <c r="P81" i="1" s="1"/>
  <c r="I81" i="1"/>
  <c r="M81" i="1" s="1"/>
  <c r="J81" i="1"/>
  <c r="N81" i="1" s="1"/>
  <c r="W81" i="1"/>
  <c r="AA81" i="1" s="1"/>
  <c r="Z81" i="1"/>
  <c r="H80" i="1"/>
  <c r="L80" i="1" s="1"/>
  <c r="P80" i="1" s="1"/>
  <c r="I80" i="1"/>
  <c r="M80" i="1" s="1"/>
  <c r="J80" i="1"/>
  <c r="N80" i="1" s="1"/>
  <c r="W80" i="1"/>
  <c r="Z80" i="1"/>
  <c r="H79" i="1"/>
  <c r="L79" i="1" s="1"/>
  <c r="P79" i="1" s="1"/>
  <c r="I79" i="1"/>
  <c r="M79" i="1" s="1"/>
  <c r="J79" i="1"/>
  <c r="N79" i="1" s="1"/>
  <c r="W79" i="1"/>
  <c r="Z79" i="1"/>
  <c r="H78" i="1"/>
  <c r="L78" i="1" s="1"/>
  <c r="P78" i="1" s="1"/>
  <c r="I78" i="1"/>
  <c r="M78" i="1" s="1"/>
  <c r="J78" i="1"/>
  <c r="N78" i="1" s="1"/>
  <c r="W78" i="1"/>
  <c r="Z78" i="1"/>
  <c r="H77" i="1"/>
  <c r="L77" i="1" s="1"/>
  <c r="P77" i="1" s="1"/>
  <c r="I77" i="1"/>
  <c r="M77" i="1" s="1"/>
  <c r="J77" i="1"/>
  <c r="N77" i="1" s="1"/>
  <c r="W77" i="1"/>
  <c r="Z77" i="1"/>
  <c r="H76" i="1"/>
  <c r="L76" i="1" s="1"/>
  <c r="P76" i="1" s="1"/>
  <c r="I76" i="1"/>
  <c r="M76" i="1" s="1"/>
  <c r="J76" i="1"/>
  <c r="N76" i="1" s="1"/>
  <c r="W76" i="1"/>
  <c r="Z76" i="1"/>
  <c r="H75" i="1"/>
  <c r="L75" i="1" s="1"/>
  <c r="P75" i="1" s="1"/>
  <c r="I75" i="1"/>
  <c r="M75" i="1" s="1"/>
  <c r="J75" i="1"/>
  <c r="N75" i="1" s="1"/>
  <c r="W75" i="1"/>
  <c r="Z75" i="1"/>
  <c r="H74" i="1"/>
  <c r="L74" i="1" s="1"/>
  <c r="P74" i="1" s="1"/>
  <c r="I74" i="1"/>
  <c r="M74" i="1" s="1"/>
  <c r="J74" i="1"/>
  <c r="N74" i="1" s="1"/>
  <c r="W74" i="1"/>
  <c r="Z74" i="1"/>
  <c r="H73" i="1"/>
  <c r="L73" i="1" s="1"/>
  <c r="P73" i="1" s="1"/>
  <c r="I73" i="1"/>
  <c r="M73" i="1" s="1"/>
  <c r="J73" i="1"/>
  <c r="W73" i="1"/>
  <c r="Z73" i="1"/>
  <c r="H72" i="1"/>
  <c r="L72" i="1" s="1"/>
  <c r="I72" i="1"/>
  <c r="M72" i="1" s="1"/>
  <c r="J72" i="1"/>
  <c r="N72" i="1" s="1"/>
  <c r="W72" i="1"/>
  <c r="Z72" i="1"/>
  <c r="H71" i="1"/>
  <c r="L71" i="1" s="1"/>
  <c r="I71" i="1"/>
  <c r="M71" i="1" s="1"/>
  <c r="J71" i="1"/>
  <c r="N71" i="1" s="1"/>
  <c r="W71" i="1"/>
  <c r="Z71" i="1"/>
  <c r="H70" i="1"/>
  <c r="L70" i="1" s="1"/>
  <c r="P70" i="1" s="1"/>
  <c r="I70" i="1"/>
  <c r="M70" i="1" s="1"/>
  <c r="J70" i="1"/>
  <c r="N70" i="1" s="1"/>
  <c r="W70" i="1"/>
  <c r="Z70" i="1"/>
  <c r="H63" i="1"/>
  <c r="L63" i="1" s="1"/>
  <c r="P63" i="1" s="1"/>
  <c r="I63" i="1"/>
  <c r="M63" i="1" s="1"/>
  <c r="J63" i="1"/>
  <c r="N63" i="1" s="1"/>
  <c r="W63" i="1"/>
  <c r="Z63" i="1"/>
  <c r="H26" i="1"/>
  <c r="L26" i="1" s="1"/>
  <c r="H27" i="1"/>
  <c r="L27" i="1" s="1"/>
  <c r="H28" i="1"/>
  <c r="L28" i="1" s="1"/>
  <c r="H29" i="1"/>
  <c r="L29" i="1" s="1"/>
  <c r="H30" i="1"/>
  <c r="L30" i="1" s="1"/>
  <c r="H31" i="1"/>
  <c r="L31" i="1" s="1"/>
  <c r="H32" i="1"/>
  <c r="L32" i="1" s="1"/>
  <c r="H33" i="1"/>
  <c r="L33" i="1" s="1"/>
  <c r="H34" i="1"/>
  <c r="L34" i="1" s="1"/>
  <c r="H35" i="1"/>
  <c r="L35" i="1" s="1"/>
  <c r="H36" i="1"/>
  <c r="L36" i="1" s="1"/>
  <c r="H37" i="1"/>
  <c r="L37" i="1" s="1"/>
  <c r="H38" i="1"/>
  <c r="L38" i="1" s="1"/>
  <c r="H39" i="1"/>
  <c r="L39" i="1" s="1"/>
  <c r="P39" i="1" s="1"/>
  <c r="H40" i="1"/>
  <c r="L40" i="1" s="1"/>
  <c r="H41" i="1"/>
  <c r="L41" i="1" s="1"/>
  <c r="H42" i="1"/>
  <c r="L42" i="1" s="1"/>
  <c r="H43" i="1"/>
  <c r="L43" i="1" s="1"/>
  <c r="H44" i="1"/>
  <c r="L44" i="1" s="1"/>
  <c r="P44" i="1" s="1"/>
  <c r="H45" i="1"/>
  <c r="L45" i="1" s="1"/>
  <c r="H46" i="1"/>
  <c r="L46" i="1" s="1"/>
  <c r="H47" i="1"/>
  <c r="L47" i="1" s="1"/>
  <c r="P47" i="1" s="1"/>
  <c r="H48" i="1"/>
  <c r="L48" i="1" s="1"/>
  <c r="P48" i="1" s="1"/>
  <c r="H49" i="1"/>
  <c r="L49" i="1" s="1"/>
  <c r="H50" i="1"/>
  <c r="L50" i="1" s="1"/>
  <c r="H51" i="1"/>
  <c r="L51" i="1" s="1"/>
  <c r="H52" i="1"/>
  <c r="L52" i="1" s="1"/>
  <c r="P52" i="1" s="1"/>
  <c r="H53" i="1"/>
  <c r="L53" i="1" s="1"/>
  <c r="H54" i="1"/>
  <c r="L54" i="1" s="1"/>
  <c r="H55" i="1"/>
  <c r="L55" i="1" s="1"/>
  <c r="P55" i="1" s="1"/>
  <c r="H56" i="1"/>
  <c r="L56" i="1" s="1"/>
  <c r="H57" i="1"/>
  <c r="L57" i="1" s="1"/>
  <c r="H58" i="1"/>
  <c r="L58" i="1" s="1"/>
  <c r="H59" i="1"/>
  <c r="L59" i="1" s="1"/>
  <c r="H60" i="1"/>
  <c r="L60" i="1" s="1"/>
  <c r="P60" i="1" s="1"/>
  <c r="H61" i="1"/>
  <c r="L61" i="1" s="1"/>
  <c r="P61" i="1" s="1"/>
  <c r="H62" i="1"/>
  <c r="L62" i="1" s="1"/>
  <c r="P62" i="1" s="1"/>
  <c r="H64" i="1"/>
  <c r="L64" i="1" s="1"/>
  <c r="P64" i="1" s="1"/>
  <c r="H65" i="1"/>
  <c r="L65" i="1" s="1"/>
  <c r="P65" i="1" s="1"/>
  <c r="H66" i="1"/>
  <c r="L66" i="1" s="1"/>
  <c r="P66" i="1" s="1"/>
  <c r="H67" i="1"/>
  <c r="L67" i="1" s="1"/>
  <c r="P67" i="1" s="1"/>
  <c r="H68" i="1"/>
  <c r="L68" i="1" s="1"/>
  <c r="P68" i="1" s="1"/>
  <c r="H69" i="1"/>
  <c r="L69" i="1" s="1"/>
  <c r="P69" i="1" s="1"/>
  <c r="I65" i="1"/>
  <c r="M65" i="1" s="1"/>
  <c r="I66" i="1"/>
  <c r="I67" i="1"/>
  <c r="M67" i="1" s="1"/>
  <c r="I68" i="1"/>
  <c r="M68" i="1" s="1"/>
  <c r="I69" i="1"/>
  <c r="M69" i="1" s="1"/>
  <c r="J65" i="1"/>
  <c r="N65" i="1" s="1"/>
  <c r="J66" i="1"/>
  <c r="N66" i="1" s="1"/>
  <c r="J67" i="1"/>
  <c r="N67" i="1" s="1"/>
  <c r="J68" i="1"/>
  <c r="N68" i="1" s="1"/>
  <c r="J69" i="1"/>
  <c r="N69" i="1" s="1"/>
  <c r="W65" i="1"/>
  <c r="W66" i="1"/>
  <c r="W67" i="1"/>
  <c r="W68" i="1"/>
  <c r="W69" i="1"/>
  <c r="Z65" i="1"/>
  <c r="Z66" i="1"/>
  <c r="Z67" i="1"/>
  <c r="Z68" i="1"/>
  <c r="AB68" i="1" s="1"/>
  <c r="Z69" i="1"/>
  <c r="I64" i="1"/>
  <c r="M64" i="1" s="1"/>
  <c r="J64" i="1"/>
  <c r="N64" i="1" s="1"/>
  <c r="W64" i="1"/>
  <c r="Z64" i="1"/>
  <c r="I62" i="1"/>
  <c r="M62" i="1" s="1"/>
  <c r="J62" i="1"/>
  <c r="N62" i="1" s="1"/>
  <c r="W62" i="1"/>
  <c r="Z62" i="1"/>
  <c r="I61" i="1"/>
  <c r="M61" i="1" s="1"/>
  <c r="J61" i="1"/>
  <c r="N61" i="1" s="1"/>
  <c r="W61" i="1"/>
  <c r="Z61" i="1"/>
  <c r="I60" i="1"/>
  <c r="M60" i="1" s="1"/>
  <c r="J60" i="1"/>
  <c r="N60" i="1" s="1"/>
  <c r="W60" i="1"/>
  <c r="Z60" i="1"/>
  <c r="I58" i="1"/>
  <c r="M58" i="1" s="1"/>
  <c r="J58" i="1"/>
  <c r="N58" i="1" s="1"/>
  <c r="W58" i="1"/>
  <c r="Z58" i="1"/>
  <c r="I53" i="1"/>
  <c r="M53" i="1" s="1"/>
  <c r="J53" i="1"/>
  <c r="N53" i="1" s="1"/>
  <c r="W53" i="1"/>
  <c r="Z53" i="1"/>
  <c r="I59" i="1"/>
  <c r="M59" i="1" s="1"/>
  <c r="J59" i="1"/>
  <c r="N59" i="1" s="1"/>
  <c r="W59" i="1"/>
  <c r="Z59" i="1"/>
  <c r="I57" i="1"/>
  <c r="M57" i="1" s="1"/>
  <c r="J57" i="1"/>
  <c r="N57" i="1" s="1"/>
  <c r="W57" i="1"/>
  <c r="Z57" i="1"/>
  <c r="I56" i="1"/>
  <c r="M56" i="1" s="1"/>
  <c r="J56" i="1"/>
  <c r="W56" i="1"/>
  <c r="Z56" i="1"/>
  <c r="I55" i="1"/>
  <c r="M55" i="1" s="1"/>
  <c r="J55" i="1"/>
  <c r="N55" i="1" s="1"/>
  <c r="W55" i="1"/>
  <c r="Z55" i="1"/>
  <c r="I54" i="1"/>
  <c r="M54" i="1" s="1"/>
  <c r="J54" i="1"/>
  <c r="N54" i="1" s="1"/>
  <c r="W54" i="1"/>
  <c r="Z54" i="1"/>
  <c r="I52" i="1"/>
  <c r="M52" i="1" s="1"/>
  <c r="J52" i="1"/>
  <c r="N52" i="1" s="1"/>
  <c r="W52" i="1"/>
  <c r="Z52" i="1"/>
  <c r="I51" i="1"/>
  <c r="J51" i="1"/>
  <c r="W51" i="1"/>
  <c r="Z51" i="1"/>
  <c r="I50" i="1"/>
  <c r="M50" i="1" s="1"/>
  <c r="J50" i="1"/>
  <c r="N50" i="1" s="1"/>
  <c r="W50" i="1"/>
  <c r="Z50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I49" i="1"/>
  <c r="J49" i="1"/>
  <c r="N49" i="1" s="1"/>
  <c r="I48" i="1"/>
  <c r="M48" i="1" s="1"/>
  <c r="J48" i="1"/>
  <c r="N48" i="1" s="1"/>
  <c r="I47" i="1"/>
  <c r="M47" i="1" s="1"/>
  <c r="J47" i="1"/>
  <c r="N47" i="1" s="1"/>
  <c r="I46" i="1"/>
  <c r="M46" i="1" s="1"/>
  <c r="J46" i="1"/>
  <c r="N46" i="1" s="1"/>
  <c r="I45" i="1"/>
  <c r="J45" i="1"/>
  <c r="I44" i="1"/>
  <c r="M44" i="1" s="1"/>
  <c r="J44" i="1"/>
  <c r="N44" i="1" s="1"/>
  <c r="I43" i="1"/>
  <c r="J43" i="1"/>
  <c r="I42" i="1"/>
  <c r="M42" i="1" s="1"/>
  <c r="J42" i="1"/>
  <c r="N42" i="1" s="1"/>
  <c r="I41" i="1"/>
  <c r="M41" i="1" s="1"/>
  <c r="J41" i="1"/>
  <c r="N41" i="1" s="1"/>
  <c r="I40" i="1"/>
  <c r="J40" i="1"/>
  <c r="I39" i="1"/>
  <c r="M39" i="1" s="1"/>
  <c r="J39" i="1"/>
  <c r="N39" i="1" s="1"/>
  <c r="T14" i="1"/>
  <c r="V14" i="1" s="1"/>
  <c r="T15" i="1"/>
  <c r="V15" i="1" s="1"/>
  <c r="T17" i="1"/>
  <c r="V17" i="1" s="1"/>
  <c r="T18" i="1"/>
  <c r="V18" i="1" s="1"/>
  <c r="T19" i="1"/>
  <c r="V19" i="1" s="1"/>
  <c r="T21" i="1"/>
  <c r="V21" i="1" s="1"/>
  <c r="S14" i="1"/>
  <c r="S15" i="1"/>
  <c r="S17" i="1"/>
  <c r="S18" i="1"/>
  <c r="S19" i="1"/>
  <c r="S21" i="1"/>
  <c r="I14" i="10" l="1"/>
  <c r="U23" i="10"/>
  <c r="P53" i="1"/>
  <c r="AA67" i="1"/>
  <c r="AA65" i="1"/>
  <c r="AA58" i="1"/>
  <c r="AA44" i="1"/>
  <c r="AA56" i="1"/>
  <c r="AA50" i="1"/>
  <c r="AA29" i="1"/>
  <c r="AB63" i="1"/>
  <c r="AB66" i="1"/>
  <c r="AB59" i="1"/>
  <c r="AB57" i="1"/>
  <c r="AB49" i="1"/>
  <c r="AB43" i="1"/>
  <c r="AB39" i="1"/>
  <c r="AB37" i="1"/>
  <c r="P59" i="1"/>
  <c r="P71" i="1"/>
  <c r="AA74" i="1"/>
  <c r="AA47" i="1"/>
  <c r="AA40" i="1"/>
  <c r="AA55" i="1"/>
  <c r="AA31" i="1"/>
  <c r="AB79" i="1"/>
  <c r="AB82" i="1"/>
  <c r="AB75" i="1"/>
  <c r="AB70" i="1"/>
  <c r="AB38" i="1"/>
  <c r="AB46" i="1"/>
  <c r="AB42" i="1"/>
  <c r="P84" i="1"/>
  <c r="AA78" i="1"/>
  <c r="AB41" i="1"/>
  <c r="P58" i="1"/>
  <c r="P50" i="1"/>
  <c r="P42" i="1"/>
  <c r="AA83" i="1"/>
  <c r="AA80" i="1"/>
  <c r="AA61" i="1"/>
  <c r="AA54" i="1"/>
  <c r="AA52" i="1"/>
  <c r="AA33" i="1"/>
  <c r="AA35" i="1"/>
  <c r="AA27" i="1"/>
  <c r="AB62" i="1"/>
  <c r="AB60" i="1"/>
  <c r="AB53" i="1"/>
  <c r="AB32" i="1"/>
  <c r="AB51" i="1"/>
  <c r="AB48" i="1"/>
  <c r="AB30" i="1"/>
  <c r="AA73" i="1"/>
  <c r="AA45" i="1"/>
  <c r="P57" i="1"/>
  <c r="P41" i="1"/>
  <c r="AB77" i="1"/>
  <c r="AA63" i="1"/>
  <c r="AA66" i="1"/>
  <c r="AA59" i="1"/>
  <c r="AA57" i="1"/>
  <c r="AA49" i="1"/>
  <c r="AA43" i="1"/>
  <c r="AA39" i="1"/>
  <c r="AB67" i="1"/>
  <c r="AB65" i="1"/>
  <c r="AB58" i="1"/>
  <c r="AB44" i="1"/>
  <c r="AB56" i="1"/>
  <c r="AB50" i="1"/>
  <c r="AB29" i="1"/>
  <c r="P56" i="1"/>
  <c r="AA68" i="1"/>
  <c r="AA77" i="1"/>
  <c r="AA72" i="1"/>
  <c r="AA41" i="1"/>
  <c r="AA37" i="1"/>
  <c r="AA36" i="1"/>
  <c r="AA28" i="1"/>
  <c r="AB64" i="1"/>
  <c r="AB78" i="1"/>
  <c r="AB76" i="1"/>
  <c r="AB71" i="1"/>
  <c r="AB73" i="1"/>
  <c r="AB34" i="1"/>
  <c r="AB26" i="1"/>
  <c r="AB45" i="1"/>
  <c r="AA82" i="1"/>
  <c r="AA38" i="1"/>
  <c r="AA46" i="1"/>
  <c r="AA42" i="1"/>
  <c r="AB69" i="1"/>
  <c r="AB83" i="1"/>
  <c r="AB81" i="1"/>
  <c r="AB74" i="1"/>
  <c r="AB47" i="1"/>
  <c r="AB40" i="1"/>
  <c r="AB55" i="1"/>
  <c r="AB31" i="1"/>
  <c r="P54" i="1"/>
  <c r="P46" i="1"/>
  <c r="P72" i="1"/>
  <c r="AA62" i="1"/>
  <c r="AA60" i="1"/>
  <c r="AA53" i="1"/>
  <c r="AA32" i="1"/>
  <c r="AA51" i="1"/>
  <c r="AA48" i="1"/>
  <c r="AA30" i="1"/>
  <c r="AB80" i="1"/>
  <c r="AB61" i="1"/>
  <c r="AB54" i="1"/>
  <c r="AB52" i="1"/>
  <c r="AB33" i="1"/>
  <c r="AB35" i="1"/>
  <c r="AB27" i="1"/>
  <c r="O84" i="1"/>
  <c r="O71" i="1"/>
  <c r="O76" i="1"/>
  <c r="O79" i="1"/>
  <c r="O83" i="1"/>
  <c r="O67" i="1"/>
  <c r="O58" i="1"/>
  <c r="O50" i="1"/>
  <c r="O57" i="1"/>
  <c r="O41" i="1"/>
  <c r="O63" i="1"/>
  <c r="O77" i="1"/>
  <c r="O42" i="1"/>
  <c r="O65" i="1"/>
  <c r="O48" i="1"/>
  <c r="O70" i="1"/>
  <c r="O78" i="1"/>
  <c r="O64" i="1"/>
  <c r="O55" i="1"/>
  <c r="O47" i="1"/>
  <c r="O39" i="1"/>
  <c r="O62" i="1"/>
  <c r="O54" i="1"/>
  <c r="O46" i="1"/>
  <c r="O72" i="1"/>
  <c r="O80" i="1"/>
  <c r="O61" i="1"/>
  <c r="O53" i="1"/>
  <c r="O81" i="1"/>
  <c r="O69" i="1"/>
  <c r="O60" i="1"/>
  <c r="O52" i="1"/>
  <c r="O44" i="1"/>
  <c r="O74" i="1"/>
  <c r="O68" i="1"/>
  <c r="O59" i="1"/>
  <c r="O75" i="1"/>
  <c r="M82" i="1"/>
  <c r="O82" i="1" s="1"/>
  <c r="N73" i="1"/>
  <c r="O73" i="1" s="1"/>
  <c r="M51" i="1"/>
  <c r="P51" i="1" s="1"/>
  <c r="M43" i="1"/>
  <c r="P43" i="1" s="1"/>
  <c r="N45" i="1"/>
  <c r="M66" i="1"/>
  <c r="O66" i="1" s="1"/>
  <c r="M49" i="1"/>
  <c r="O49" i="1" s="1"/>
  <c r="M40" i="1"/>
  <c r="P40" i="1" s="1"/>
  <c r="N51" i="1"/>
  <c r="N43" i="1"/>
  <c r="M45" i="1"/>
  <c r="P45" i="1" s="1"/>
  <c r="N56" i="1"/>
  <c r="O56" i="1" s="1"/>
  <c r="N40" i="1"/>
  <c r="P49" i="1" l="1"/>
  <c r="O40" i="1"/>
  <c r="O43" i="1"/>
  <c r="O51" i="1"/>
  <c r="O45" i="1"/>
  <c r="R16" i="1" l="1"/>
  <c r="Q16" i="1"/>
  <c r="P16" i="1"/>
  <c r="O16" i="1"/>
  <c r="N16" i="1"/>
  <c r="M16" i="1"/>
  <c r="L16" i="1"/>
  <c r="K16" i="1"/>
  <c r="L20" i="1"/>
  <c r="M20" i="1"/>
  <c r="N20" i="1"/>
  <c r="O20" i="1"/>
  <c r="P20" i="1"/>
  <c r="Q20" i="1"/>
  <c r="R20" i="1"/>
  <c r="K20" i="1"/>
  <c r="I34" i="1"/>
  <c r="M34" i="1" s="1"/>
  <c r="P34" i="1" s="1"/>
  <c r="J34" i="1"/>
  <c r="N34" i="1" s="1"/>
  <c r="I37" i="1"/>
  <c r="M37" i="1" s="1"/>
  <c r="P37" i="1" s="1"/>
  <c r="I38" i="1"/>
  <c r="M38" i="1" s="1"/>
  <c r="P38" i="1" s="1"/>
  <c r="J37" i="1"/>
  <c r="N37" i="1" s="1"/>
  <c r="J38" i="1"/>
  <c r="N38" i="1" s="1"/>
  <c r="I30" i="1"/>
  <c r="M30" i="1" s="1"/>
  <c r="P30" i="1" s="1"/>
  <c r="J30" i="1"/>
  <c r="N30" i="1" s="1"/>
  <c r="I31" i="1"/>
  <c r="M31" i="1" s="1"/>
  <c r="P31" i="1" s="1"/>
  <c r="I32" i="1"/>
  <c r="M32" i="1" s="1"/>
  <c r="P32" i="1" s="1"/>
  <c r="I33" i="1"/>
  <c r="M33" i="1" s="1"/>
  <c r="P33" i="1" s="1"/>
  <c r="I35" i="1"/>
  <c r="M35" i="1" s="1"/>
  <c r="P35" i="1" s="1"/>
  <c r="I36" i="1"/>
  <c r="M36" i="1" s="1"/>
  <c r="P36" i="1" s="1"/>
  <c r="J31" i="1"/>
  <c r="N31" i="1" s="1"/>
  <c r="J32" i="1"/>
  <c r="N32" i="1" s="1"/>
  <c r="J33" i="1"/>
  <c r="N33" i="1" s="1"/>
  <c r="J35" i="1"/>
  <c r="N35" i="1" s="1"/>
  <c r="J36" i="1"/>
  <c r="N36" i="1" s="1"/>
  <c r="O35" i="1" l="1"/>
  <c r="O36" i="1"/>
  <c r="O30" i="1"/>
  <c r="O34" i="1"/>
  <c r="O38" i="1"/>
  <c r="O33" i="1"/>
  <c r="O37" i="1"/>
  <c r="O32" i="1"/>
  <c r="O31" i="1"/>
  <c r="S20" i="1"/>
  <c r="S16" i="1"/>
  <c r="T20" i="1"/>
  <c r="V20" i="1" s="1"/>
  <c r="T16" i="1"/>
  <c r="V16" i="1" s="1"/>
  <c r="J26" i="1"/>
  <c r="N26" i="1" s="1"/>
  <c r="J27" i="1"/>
  <c r="N27" i="1" s="1"/>
  <c r="J28" i="1"/>
  <c r="N28" i="1" s="1"/>
  <c r="J29" i="1"/>
  <c r="N29" i="1" s="1"/>
  <c r="I26" i="1"/>
  <c r="M26" i="1" s="1"/>
  <c r="P26" i="1" s="1"/>
  <c r="I27" i="1"/>
  <c r="M27" i="1" s="1"/>
  <c r="P27" i="1" s="1"/>
  <c r="I28" i="1"/>
  <c r="M28" i="1" s="1"/>
  <c r="P28" i="1" s="1"/>
  <c r="I29" i="1"/>
  <c r="M29" i="1" s="1"/>
  <c r="P29" i="1" s="1"/>
  <c r="O26" i="1" l="1"/>
  <c r="O29" i="1"/>
  <c r="O28" i="1"/>
  <c r="O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<sst xmlns="http://schemas.openxmlformats.org/spreadsheetml/2006/main" count="332" uniqueCount="125">
  <si>
    <t>mJ/cm2</t>
  </si>
  <si>
    <t>mW/cm2</t>
  </si>
  <si>
    <t>12W</t>
  </si>
  <si>
    <t>PP2</t>
  </si>
  <si>
    <t>General Notes:</t>
  </si>
  <si>
    <t>Radiometer:</t>
  </si>
  <si>
    <t>EIT PowerPuck II</t>
  </si>
  <si>
    <t>Present: Joshua Walker</t>
  </si>
  <si>
    <t>PPII SN: #14614</t>
  </si>
  <si>
    <t>Calibrated 6/18/2010</t>
  </si>
  <si>
    <t>UVA</t>
  </si>
  <si>
    <t>UVB</t>
  </si>
  <si>
    <t>UVC</t>
  </si>
  <si>
    <t>UVV</t>
  </si>
  <si>
    <t>Lamp</t>
  </si>
  <si>
    <t>Radiometer</t>
  </si>
  <si>
    <t>Lamp Nominal Power (W/cm)</t>
  </si>
  <si>
    <t>Power Setting</t>
  </si>
  <si>
    <t>Conveyor Speed (ft/min)</t>
  </si>
  <si>
    <t>Ht (belt to lens) (in)</t>
  </si>
  <si>
    <t>Ht (can dolly) (in)</t>
  </si>
  <si>
    <t>Gap (in)</t>
  </si>
  <si>
    <t>UVA Dose</t>
  </si>
  <si>
    <t>UVA Peak Irr.</t>
  </si>
  <si>
    <t>UVB Dose</t>
  </si>
  <si>
    <t>UVB Peak Irr.</t>
  </si>
  <si>
    <t>UVC Dose</t>
  </si>
  <si>
    <t>UVC Peak Irr.</t>
  </si>
  <si>
    <t>UVV Dose</t>
  </si>
  <si>
    <t>UVV Peak Irr.</t>
  </si>
  <si>
    <t>Total Dose (J/cm2)</t>
  </si>
  <si>
    <t>Total Peak Irradiance (W/cm2)</t>
  </si>
  <si>
    <t>Notes</t>
  </si>
  <si>
    <t>FL400 275nm Test Lamp</t>
  </si>
  <si>
    <t>PP2 recorded 30C ambient temp</t>
  </si>
  <si>
    <t>FJ100 365nm</t>
  </si>
  <si>
    <t>31C</t>
  </si>
  <si>
    <t>32C</t>
  </si>
  <si>
    <t>365nm Power Setting (%)</t>
  </si>
  <si>
    <t>275nm Power (%)</t>
  </si>
  <si>
    <t>365nm Irr. (W/cm2)</t>
  </si>
  <si>
    <t>275nm Irr. (W/cm2)</t>
  </si>
  <si>
    <t>Thumbnail</t>
  </si>
  <si>
    <t>Scratch with fingernail. Fail if aluminum can be exposed.</t>
  </si>
  <si>
    <t>Apply masking tape and peel off. Fail if varnish visible on tape under blacklight.</t>
  </si>
  <si>
    <t>Wipe</t>
  </si>
  <si>
    <t>Wipe with paper towel. Fail if varnish visible on towel.</t>
  </si>
  <si>
    <t>Can #, Pass/Fail/Questionable</t>
  </si>
  <si>
    <t>Column1</t>
  </si>
  <si>
    <t>AVERAGE</t>
  </si>
  <si>
    <t>DF</t>
  </si>
  <si>
    <t>PPF</t>
  </si>
  <si>
    <t>FL400</t>
  </si>
  <si>
    <t>Prior Testing Summary:</t>
  </si>
  <si>
    <t>Theoretical</t>
  </si>
  <si>
    <t>0.375" Gap</t>
  </si>
  <si>
    <t>FJ100</t>
  </si>
  <si>
    <t>Microcure</t>
  </si>
  <si>
    <t>FJ200</t>
  </si>
  <si>
    <t>365nm, 12W</t>
  </si>
  <si>
    <t>FE410</t>
  </si>
  <si>
    <t>365nm, 6W</t>
  </si>
  <si>
    <t>Type</t>
  </si>
  <si>
    <t>24W</t>
  </si>
  <si>
    <t>DF(z) = D*S/P/W*12*2.54*10/60</t>
  </si>
  <si>
    <t>D = DF/S*P*W/12/2.54/10*60</t>
  </si>
  <si>
    <t>Tape</t>
  </si>
  <si>
    <t>(Multiple Items)</t>
  </si>
  <si>
    <t>365nm Normalized Dose</t>
  </si>
  <si>
    <t>275nm Normalized Dose</t>
  </si>
  <si>
    <t>Equivalent power at 60 ft/min</t>
  </si>
  <si>
    <t>Can</t>
  </si>
  <si>
    <t>Scratch</t>
  </si>
  <si>
    <t>Test results graded from 0-4</t>
  </si>
  <si>
    <t>Tape Overall</t>
  </si>
  <si>
    <t>Scratch Overall</t>
  </si>
  <si>
    <t>Trial 1</t>
  </si>
  <si>
    <t>Trial 2</t>
  </si>
  <si>
    <t>Trial 3</t>
  </si>
  <si>
    <t>Trial 1 Tape Score</t>
  </si>
  <si>
    <t>Trial 2 Tape Score</t>
  </si>
  <si>
    <t>Trial 3 Tape Score</t>
  </si>
  <si>
    <t>Trial 1 Scratch Score</t>
  </si>
  <si>
    <t>Trial 2 Scratch Score</t>
  </si>
  <si>
    <t>Trial 3 Scratch Score</t>
  </si>
  <si>
    <t>Average of Tape Overall</t>
  </si>
  <si>
    <t>Average of Scratch Overall</t>
  </si>
  <si>
    <t>Test ID</t>
  </si>
  <si>
    <t>Date</t>
  </si>
  <si>
    <t>395nm Power Setting (%)</t>
  </si>
  <si>
    <t>395nm Irr. (W/cm2)</t>
  </si>
  <si>
    <t>395nm Normalized Dose</t>
  </si>
  <si>
    <t>0 = Heavy, full ring of varnish on tape</t>
  </si>
  <si>
    <t>1 = Light, full ring of varnish on tape</t>
  </si>
  <si>
    <t>2 = Light, partial ring of varnish on tape</t>
  </si>
  <si>
    <t>3 = Small amounts of varnish visible on tape</t>
  </si>
  <si>
    <t>4 = No varnish visible on tape</t>
  </si>
  <si>
    <t>Tape Testing:</t>
  </si>
  <si>
    <t>Lay tape flat on table, sticky side up. Press can directly onto tape, and then pull off.</t>
  </si>
  <si>
    <t>Average</t>
  </si>
  <si>
    <t>0 = Varnish can be scratched off everywhere</t>
  </si>
  <si>
    <t>4 = Varnish cannot be scratched off at all</t>
  </si>
  <si>
    <t>Fingernail Scratch Testing:</t>
  </si>
  <si>
    <t>1 = Some varnish can be scratched off in 2 places</t>
  </si>
  <si>
    <t>2 = Some varnish can be scratched off in 1 place</t>
  </si>
  <si>
    <t>365nm Equivalent power at 60 ft/min</t>
  </si>
  <si>
    <t>395nm Equivalent power at 60 ft/min</t>
  </si>
  <si>
    <t>Tape Test (Surface Cure)</t>
  </si>
  <si>
    <t>Scratch Test (Base Cure)</t>
  </si>
  <si>
    <t>All irradiance values expressed as their equivalent power at 60fpm</t>
  </si>
  <si>
    <t>Total Normalized Dose</t>
  </si>
  <si>
    <t>Scratch Mark</t>
  </si>
  <si>
    <t>365nm
UVA</t>
  </si>
  <si>
    <t>395nm
UVA</t>
  </si>
  <si>
    <t>UVA
365nm
(W/cm2)</t>
  </si>
  <si>
    <t>UVA
395nm
(W/cm2)</t>
  </si>
  <si>
    <t>UVC 275nm (W/cm2)</t>
  </si>
  <si>
    <t>(All)</t>
  </si>
  <si>
    <t>UVA Wavelength</t>
  </si>
  <si>
    <t>365nm</t>
  </si>
  <si>
    <t>395nm</t>
  </si>
  <si>
    <t>Trend (%/(W/cm2))</t>
  </si>
  <si>
    <t>Avg</t>
  </si>
  <si>
    <t>Trend (%/
(W/cm2))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</si>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</sst>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lightUp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8" tint="0.3999755851924192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2" fillId="0" borderId="0"/>
  </cellStyleXfs>
  <cellXfs count="89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9" fontId="0" fillId="0" borderId="0" xfId="0" applyNumberFormat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5" fontId="0" fillId="0" borderId="0" xfId="1" applyNumberFormat="1" applyFont="1"/>
    <xf numFmtId="165" fontId="0" fillId="0" borderId="0" xfId="0" applyNumberFormat="1"/>
    <xf numFmtId="164" fontId="0" fillId="3" borderId="4" xfId="0" applyNumberFormat="1" applyFill="1" applyBorder="1"/>
    <xf numFmtId="164" fontId="0" fillId="3" borderId="0" xfId="0" applyNumberFormat="1" applyFill="1" applyBorder="1"/>
    <xf numFmtId="164" fontId="0" fillId="3" borderId="5" xfId="0" applyNumberFormat="1" applyFill="1" applyBorder="1"/>
    <xf numFmtId="164" fontId="0" fillId="0" borderId="0" xfId="0" applyNumberFormat="1"/>
    <xf numFmtId="164" fontId="0" fillId="3" borderId="0" xfId="0" applyNumberFormat="1" applyFill="1"/>
    <xf numFmtId="0" fontId="0" fillId="3" borderId="0" xfId="0" applyFill="1"/>
    <xf numFmtId="9" fontId="0" fillId="3" borderId="0" xfId="0" applyNumberFormat="1" applyFill="1"/>
    <xf numFmtId="0" fontId="0" fillId="4" borderId="0" xfId="0" applyFill="1"/>
    <xf numFmtId="0" fontId="0" fillId="0" borderId="0" xfId="0" applyFill="1"/>
    <xf numFmtId="165" fontId="0" fillId="0" borderId="0" xfId="1" applyNumberFormat="1" applyFont="1" applyFill="1"/>
    <xf numFmtId="165" fontId="0" fillId="0" borderId="0" xfId="0" applyNumberFormat="1" applyFill="1"/>
    <xf numFmtId="9" fontId="0" fillId="0" borderId="0" xfId="0" applyNumberFormat="1" applyFill="1"/>
    <xf numFmtId="0" fontId="0" fillId="0" borderId="0" xfId="0" applyNumberFormat="1"/>
    <xf numFmtId="0" fontId="0" fillId="0" borderId="0" xfId="0" applyNumberFormat="1" applyFill="1"/>
    <xf numFmtId="0" fontId="0" fillId="0" borderId="0" xfId="0" applyNumberFormat="1" applyFill="1" applyAlignment="1">
      <alignment horizontal="left"/>
    </xf>
    <xf numFmtId="0" fontId="0" fillId="0" borderId="0" xfId="1" applyNumberFormat="1" applyFont="1"/>
    <xf numFmtId="0" fontId="3" fillId="2" borderId="9" xfId="0" applyFont="1" applyFill="1" applyBorder="1"/>
    <xf numFmtId="0" fontId="3" fillId="4" borderId="10" xfId="0" applyFont="1" applyFill="1" applyBorder="1"/>
    <xf numFmtId="0" fontId="0" fillId="0" borderId="0" xfId="0" applyAlignment="1">
      <alignment vertical="center"/>
    </xf>
    <xf numFmtId="165" fontId="0" fillId="0" borderId="0" xfId="0" pivotButton="1" applyNumberFormat="1"/>
    <xf numFmtId="165" fontId="0" fillId="0" borderId="0" xfId="0" applyNumberFormat="1" applyAlignment="1">
      <alignment horizontal="left"/>
    </xf>
    <xf numFmtId="165" fontId="0" fillId="0" borderId="0" xfId="0" pivotButton="1" applyNumberFormat="1" applyAlignment="1">
      <alignment wrapText="1"/>
    </xf>
    <xf numFmtId="0" fontId="0" fillId="0" borderId="0" xfId="1" applyNumberFormat="1" applyFont="1" applyFill="1" applyAlignment="1">
      <alignment horizontal="left"/>
    </xf>
    <xf numFmtId="14" fontId="0" fillId="0" borderId="0" xfId="1" applyNumberFormat="1" applyFont="1" applyFill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/>
    <xf numFmtId="9" fontId="0" fillId="0" borderId="0" xfId="1" applyNumberFormat="1" applyFont="1" applyFill="1" applyAlignment="1">
      <alignment horizontal="right"/>
    </xf>
    <xf numFmtId="9" fontId="0" fillId="0" borderId="0" xfId="1" applyNumberFormat="1" applyFont="1" applyAlignment="1">
      <alignment horizontal="right"/>
    </xf>
    <xf numFmtId="0" fontId="0" fillId="0" borderId="0" xfId="0" applyNumberFormat="1" applyFill="1" applyAlignment="1"/>
    <xf numFmtId="165" fontId="4" fillId="0" borderId="0" xfId="0" applyNumberFormat="1" applyFont="1" applyFill="1" applyBorder="1"/>
    <xf numFmtId="0" fontId="0" fillId="0" borderId="0" xfId="0" applyBorder="1"/>
    <xf numFmtId="9" fontId="0" fillId="0" borderId="0" xfId="1" applyFont="1" applyFill="1" applyBorder="1"/>
    <xf numFmtId="0" fontId="6" fillId="0" borderId="0" xfId="0" applyFont="1" applyFill="1" applyAlignment="1">
      <alignment vertical="center"/>
    </xf>
    <xf numFmtId="0" fontId="0" fillId="6" borderId="0" xfId="0" applyFill="1"/>
    <xf numFmtId="0" fontId="0" fillId="0" borderId="5" xfId="0" applyBorder="1"/>
    <xf numFmtId="0" fontId="0" fillId="0" borderId="7" xfId="0" applyBorder="1"/>
    <xf numFmtId="9" fontId="0" fillId="0" borderId="7" xfId="1" applyFont="1" applyFill="1" applyBorder="1"/>
    <xf numFmtId="0" fontId="0" fillId="0" borderId="4" xfId="0" applyBorder="1"/>
    <xf numFmtId="165" fontId="4" fillId="0" borderId="5" xfId="0" applyNumberFormat="1" applyFont="1" applyFill="1" applyBorder="1"/>
    <xf numFmtId="9" fontId="0" fillId="0" borderId="5" xfId="1" applyFont="1" applyFill="1" applyBorder="1"/>
    <xf numFmtId="9" fontId="0" fillId="0" borderId="0" xfId="1" applyFont="1" applyFill="1" applyAlignment="1">
      <alignment horizontal="left"/>
    </xf>
    <xf numFmtId="1" fontId="4" fillId="0" borderId="0" xfId="0" applyNumberFormat="1" applyFont="1" applyBorder="1"/>
    <xf numFmtId="1" fontId="4" fillId="0" borderId="7" xfId="0" applyNumberFormat="1" applyFont="1" applyBorder="1"/>
    <xf numFmtId="165" fontId="4" fillId="0" borderId="0" xfId="0" applyNumberFormat="1" applyFont="1" applyBorder="1"/>
    <xf numFmtId="165" fontId="4" fillId="0" borderId="7" xfId="0" applyNumberFormat="1" applyFont="1" applyBorder="1"/>
    <xf numFmtId="9" fontId="0" fillId="7" borderId="0" xfId="1" applyFont="1" applyFill="1" applyBorder="1"/>
    <xf numFmtId="9" fontId="0" fillId="7" borderId="5" xfId="1" applyFont="1" applyFill="1" applyBorder="1"/>
    <xf numFmtId="9" fontId="0" fillId="7" borderId="7" xfId="1" applyFont="1" applyFill="1" applyBorder="1"/>
    <xf numFmtId="9" fontId="0" fillId="7" borderId="8" xfId="1" applyFont="1" applyFill="1" applyBorder="1"/>
    <xf numFmtId="0" fontId="0" fillId="0" borderId="0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/>
    <xf numFmtId="0" fontId="0" fillId="0" borderId="7" xfId="0" applyBorder="1" applyAlignment="1">
      <alignment horizontal="right"/>
    </xf>
    <xf numFmtId="9" fontId="0" fillId="0" borderId="0" xfId="1" applyFont="1" applyBorder="1"/>
    <xf numFmtId="9" fontId="0" fillId="0" borderId="7" xfId="1" applyFont="1" applyBorder="1"/>
    <xf numFmtId="9" fontId="0" fillId="0" borderId="5" xfId="1" applyFont="1" applyBorder="1"/>
    <xf numFmtId="9" fontId="0" fillId="0" borderId="0" xfId="1" applyFont="1" applyBorder="1" applyAlignment="1">
      <alignment horizontal="right"/>
    </xf>
    <xf numFmtId="9" fontId="0" fillId="0" borderId="8" xfId="1" applyFont="1" applyBorder="1"/>
    <xf numFmtId="0" fontId="4" fillId="0" borderId="0" xfId="0" applyFont="1" applyAlignment="1">
      <alignment horizontal="center" vertical="center" wrapText="1"/>
    </xf>
    <xf numFmtId="0" fontId="0" fillId="0" borderId="2" xfId="0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6" fillId="5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 textRotation="90" wrapText="1"/>
    </xf>
    <xf numFmtId="0" fontId="6" fillId="5" borderId="4" xfId="0" applyFont="1" applyFill="1" applyBorder="1" applyAlignment="1">
      <alignment horizontal="center" vertical="center" textRotation="90"/>
    </xf>
    <xf numFmtId="0" fontId="6" fillId="5" borderId="6" xfId="0" applyFont="1" applyFill="1" applyBorder="1" applyAlignment="1">
      <alignment horizontal="center" vertical="center" textRotation="90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165" fontId="4" fillId="0" borderId="0" xfId="0" applyNumberFormat="1" applyFont="1"/>
    <xf numFmtId="165" fontId="4" fillId="0" borderId="11" xfId="0" applyNumberFormat="1" applyFont="1" applyBorder="1"/>
  </cellXfs>
  <cellStyles count="5">
    <cellStyle name="Normal" xfId="0" builtinId="0"/>
    <cellStyle name="Normal 2" xfId="2" xr:uid="{1EA35190-0EB6-4F78-AF8D-B6C6BDBF3841}"/>
    <cellStyle name="Normal 3" xfId="4" xr:uid="{EC4F7C4D-7AA3-4036-8863-7DBBDBC3EFF3}"/>
    <cellStyle name="Percent" xfId="1" builtinId="5"/>
    <cellStyle name="Percent 2" xfId="3" xr:uid="{8C318EA5-79CA-43D0-8010-1AE6428EA28C}"/>
  </cellStyles>
  <dxfs count="94"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alignment wrapText="1"/>
    </dxf>
    <dxf>
      <numFmt numFmtId="165" formatCode="0.0"/>
    </dxf>
    <dxf>
      <numFmt numFmtId="13" formatCode="0%"/>
    </dxf>
    <dxf>
      <numFmt numFmtId="13" formatCode="0%"/>
    </dxf>
    <dxf>
      <numFmt numFmtId="165" formatCode="0.0"/>
    </dxf>
    <dxf>
      <alignment wrapText="1"/>
    </dxf>
    <dxf>
      <numFmt numFmtId="13" formatCode="0%"/>
    </dxf>
    <dxf>
      <numFmt numFmtId="165" formatCode="0.0"/>
    </dxf>
    <dxf>
      <alignment wrapText="1"/>
    </dxf>
    <dxf>
      <numFmt numFmtId="13" formatCode="0%"/>
    </dxf>
    <dxf>
      <numFmt numFmtId="165" formatCode="0.0"/>
    </dxf>
    <dxf>
      <alignment wrapText="1"/>
    </dxf>
    <dxf>
      <numFmt numFmtId="13" formatCode="0%"/>
    </dxf>
    <dxf>
      <numFmt numFmtId="165" formatCode="0.0"/>
    </dxf>
    <dxf>
      <alignment wrapText="1"/>
    </dxf>
    <dxf>
      <numFmt numFmtId="13" formatCode="0%"/>
    </dxf>
    <dxf>
      <numFmt numFmtId="165" formatCode="0.0"/>
    </dxf>
    <dxf>
      <alignment wrapText="1"/>
    </dxf>
    <dxf>
      <numFmt numFmtId="13" formatCode="0%"/>
    </dxf>
    <dxf>
      <numFmt numFmtId="165" formatCode="0.0"/>
    </dxf>
    <dxf>
      <alignment wrapText="1"/>
    </dxf>
    <dxf>
      <numFmt numFmtId="13" formatCode="0%"/>
    </dxf>
    <dxf>
      <numFmt numFmtId="165" formatCode="0.0"/>
    </dxf>
    <dxf>
      <alignment wrapText="1"/>
    </dxf>
    <dxf>
      <numFmt numFmtId="13" formatCode="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3" formatCode="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  <border diagonalUp="0" diagonalDown="0" outline="0">
        <left/>
        <right style="medium">
          <color indexed="64"/>
        </right>
        <top/>
        <bottom/>
      </border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  <border diagonalUp="0" diagonalDown="0" outline="0">
        <left style="medium">
          <color indexed="64"/>
        </left>
        <right/>
        <top/>
        <bottom/>
      </border>
    </dxf>
    <dxf>
      <fill>
        <patternFill>
          <bgColor rgb="FF63BE7B"/>
        </patternFill>
      </fill>
    </dxf>
    <dxf>
      <fill>
        <patternFill>
          <bgColor rgb="FFFFEB84"/>
        </patternFill>
      </fill>
    </dxf>
    <dxf>
      <fill>
        <patternFill>
          <bgColor rgb="FFF8696B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8696B"/>
      <color rgb="FFBFEBD3"/>
      <color rgb="FF80D8A8"/>
      <color rgb="FF40C47C"/>
      <color rgb="FF00B050"/>
      <color rgb="FF1AB862"/>
      <color rgb="FF4DC885"/>
      <color rgb="FFB3E7CB"/>
      <color rgb="FFE6F7EE"/>
      <color rgb="FF59FF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Main!$N$25</c:f>
              <c:strCache>
                <c:ptCount val="1"/>
                <c:pt idx="0">
                  <c:v>275nm Normalized Dose</c:v>
                </c:pt>
              </c:strCache>
            </c:strRef>
          </c:tx>
          <c:spPr>
            <a:solidFill>
              <a:srgbClr val="7030A0"/>
            </a:solidFill>
            <a:ln w="19050">
              <a:noFill/>
            </a:ln>
            <a:effectLst/>
          </c:spPr>
          <c:invertIfNegative val="0"/>
          <c:cat>
            <c:numRef>
              <c:f>Main!$O$26:$O$84</c:f>
              <c:numCache>
                <c:formatCode>General</c:formatCode>
                <c:ptCount val="59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1.6</c:v>
                </c:pt>
                <c:pt idx="4">
                  <c:v>2</c:v>
                </c:pt>
                <c:pt idx="5">
                  <c:v>0.8</c:v>
                </c:pt>
                <c:pt idx="6">
                  <c:v>5</c:v>
                </c:pt>
                <c:pt idx="7">
                  <c:v>3.8</c:v>
                </c:pt>
                <c:pt idx="8">
                  <c:v>5.5</c:v>
                </c:pt>
                <c:pt idx="9">
                  <c:v>3.5</c:v>
                </c:pt>
                <c:pt idx="10">
                  <c:v>2.2999999999999998</c:v>
                </c:pt>
                <c:pt idx="11">
                  <c:v>3.75</c:v>
                </c:pt>
                <c:pt idx="12">
                  <c:v>2.85</c:v>
                </c:pt>
                <c:pt idx="13">
                  <c:v>4</c:v>
                </c:pt>
                <c:pt idx="14">
                  <c:v>5.5</c:v>
                </c:pt>
                <c:pt idx="15">
                  <c:v>7</c:v>
                </c:pt>
                <c:pt idx="16">
                  <c:v>2</c:v>
                </c:pt>
                <c:pt idx="17">
                  <c:v>3.5</c:v>
                </c:pt>
                <c:pt idx="18">
                  <c:v>5</c:v>
                </c:pt>
                <c:pt idx="19">
                  <c:v>0.8</c:v>
                </c:pt>
                <c:pt idx="20">
                  <c:v>2.2999999999999998</c:v>
                </c:pt>
                <c:pt idx="21">
                  <c:v>3.8</c:v>
                </c:pt>
                <c:pt idx="22">
                  <c:v>1.9</c:v>
                </c:pt>
                <c:pt idx="23">
                  <c:v>3.4</c:v>
                </c:pt>
                <c:pt idx="24">
                  <c:v>16</c:v>
                </c:pt>
                <c:pt idx="25">
                  <c:v>17.5</c:v>
                </c:pt>
                <c:pt idx="26">
                  <c:v>19</c:v>
                </c:pt>
                <c:pt idx="27">
                  <c:v>20.5</c:v>
                </c:pt>
                <c:pt idx="28">
                  <c:v>22</c:v>
                </c:pt>
                <c:pt idx="29">
                  <c:v>8</c:v>
                </c:pt>
                <c:pt idx="30">
                  <c:v>9.5</c:v>
                </c:pt>
                <c:pt idx="31">
                  <c:v>11</c:v>
                </c:pt>
                <c:pt idx="32">
                  <c:v>12.5</c:v>
                </c:pt>
                <c:pt idx="33">
                  <c:v>14</c:v>
                </c:pt>
                <c:pt idx="34">
                  <c:v>32</c:v>
                </c:pt>
                <c:pt idx="35">
                  <c:v>33.5</c:v>
                </c:pt>
                <c:pt idx="36">
                  <c:v>35</c:v>
                </c:pt>
                <c:pt idx="37">
                  <c:v>36.5</c:v>
                </c:pt>
                <c:pt idx="38">
                  <c:v>38</c:v>
                </c:pt>
                <c:pt idx="39">
                  <c:v>16</c:v>
                </c:pt>
                <c:pt idx="40">
                  <c:v>17.5</c:v>
                </c:pt>
                <c:pt idx="41">
                  <c:v>19</c:v>
                </c:pt>
                <c:pt idx="42">
                  <c:v>20.5</c:v>
                </c:pt>
                <c:pt idx="43">
                  <c:v>22</c:v>
                </c:pt>
                <c:pt idx="44">
                  <c:v>7</c:v>
                </c:pt>
                <c:pt idx="45">
                  <c:v>8.5</c:v>
                </c:pt>
                <c:pt idx="46">
                  <c:v>10</c:v>
                </c:pt>
                <c:pt idx="47">
                  <c:v>5</c:v>
                </c:pt>
                <c:pt idx="48">
                  <c:v>6.5</c:v>
                </c:pt>
                <c:pt idx="49">
                  <c:v>8</c:v>
                </c:pt>
                <c:pt idx="50">
                  <c:v>8</c:v>
                </c:pt>
                <c:pt idx="51">
                  <c:v>9.5</c:v>
                </c:pt>
                <c:pt idx="52">
                  <c:v>11</c:v>
                </c:pt>
                <c:pt idx="53">
                  <c:v>12.5</c:v>
                </c:pt>
                <c:pt idx="54">
                  <c:v>14</c:v>
                </c:pt>
                <c:pt idx="55">
                  <c:v>4</c:v>
                </c:pt>
                <c:pt idx="56">
                  <c:v>5.5</c:v>
                </c:pt>
                <c:pt idx="57">
                  <c:v>7</c:v>
                </c:pt>
                <c:pt idx="58">
                  <c:v>0</c:v>
                </c:pt>
              </c:numCache>
            </c:numRef>
          </c:cat>
          <c:val>
            <c:numRef>
              <c:f>Main!$N$26:$N$84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2.25</c:v>
                </c:pt>
                <c:pt idx="12">
                  <c:v>2.25</c:v>
                </c:pt>
                <c:pt idx="13">
                  <c:v>0</c:v>
                </c:pt>
                <c:pt idx="14">
                  <c:v>1.5</c:v>
                </c:pt>
                <c:pt idx="15">
                  <c:v>3</c:v>
                </c:pt>
                <c:pt idx="16">
                  <c:v>0</c:v>
                </c:pt>
                <c:pt idx="17">
                  <c:v>1.5</c:v>
                </c:pt>
                <c:pt idx="18">
                  <c:v>3</c:v>
                </c:pt>
                <c:pt idx="19">
                  <c:v>0</c:v>
                </c:pt>
                <c:pt idx="20">
                  <c:v>1.5</c:v>
                </c:pt>
                <c:pt idx="21">
                  <c:v>3</c:v>
                </c:pt>
                <c:pt idx="22">
                  <c:v>1.5</c:v>
                </c:pt>
                <c:pt idx="23">
                  <c:v>3</c:v>
                </c:pt>
                <c:pt idx="24">
                  <c:v>0</c:v>
                </c:pt>
                <c:pt idx="25">
                  <c:v>1.5</c:v>
                </c:pt>
                <c:pt idx="26">
                  <c:v>3</c:v>
                </c:pt>
                <c:pt idx="27">
                  <c:v>4.5</c:v>
                </c:pt>
                <c:pt idx="28">
                  <c:v>6</c:v>
                </c:pt>
                <c:pt idx="29">
                  <c:v>0</c:v>
                </c:pt>
                <c:pt idx="30">
                  <c:v>1.5</c:v>
                </c:pt>
                <c:pt idx="31">
                  <c:v>3</c:v>
                </c:pt>
                <c:pt idx="32">
                  <c:v>4.5</c:v>
                </c:pt>
                <c:pt idx="33">
                  <c:v>6</c:v>
                </c:pt>
                <c:pt idx="34">
                  <c:v>0</c:v>
                </c:pt>
                <c:pt idx="35">
                  <c:v>1.5</c:v>
                </c:pt>
                <c:pt idx="36">
                  <c:v>3</c:v>
                </c:pt>
                <c:pt idx="37">
                  <c:v>4.5</c:v>
                </c:pt>
                <c:pt idx="38">
                  <c:v>6</c:v>
                </c:pt>
                <c:pt idx="39">
                  <c:v>0</c:v>
                </c:pt>
                <c:pt idx="40">
                  <c:v>1.5</c:v>
                </c:pt>
                <c:pt idx="41">
                  <c:v>3</c:v>
                </c:pt>
                <c:pt idx="42">
                  <c:v>4.5</c:v>
                </c:pt>
                <c:pt idx="43">
                  <c:v>6</c:v>
                </c:pt>
                <c:pt idx="44">
                  <c:v>3</c:v>
                </c:pt>
                <c:pt idx="45">
                  <c:v>4.5</c:v>
                </c:pt>
                <c:pt idx="46">
                  <c:v>6</c:v>
                </c:pt>
                <c:pt idx="47">
                  <c:v>3</c:v>
                </c:pt>
                <c:pt idx="48">
                  <c:v>4.5</c:v>
                </c:pt>
                <c:pt idx="49">
                  <c:v>6</c:v>
                </c:pt>
                <c:pt idx="50">
                  <c:v>0</c:v>
                </c:pt>
                <c:pt idx="51">
                  <c:v>1.5</c:v>
                </c:pt>
                <c:pt idx="52">
                  <c:v>3</c:v>
                </c:pt>
                <c:pt idx="53">
                  <c:v>4.5</c:v>
                </c:pt>
                <c:pt idx="54">
                  <c:v>6</c:v>
                </c:pt>
                <c:pt idx="55">
                  <c:v>0</c:v>
                </c:pt>
                <c:pt idx="56">
                  <c:v>1.5</c:v>
                </c:pt>
                <c:pt idx="57">
                  <c:v>3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DD-4189-B72F-307F57261792}"/>
            </c:ext>
          </c:extLst>
        </c:ser>
        <c:ser>
          <c:idx val="1"/>
          <c:order val="1"/>
          <c:tx>
            <c:strRef>
              <c:f>Main!$M$25</c:f>
              <c:strCache>
                <c:ptCount val="1"/>
                <c:pt idx="0">
                  <c:v>365nm Normalized Dose</c:v>
                </c:pt>
              </c:strCache>
            </c:strRef>
          </c:tx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cat>
            <c:numRef>
              <c:f>Main!$O$26:$O$84</c:f>
              <c:numCache>
                <c:formatCode>General</c:formatCode>
                <c:ptCount val="59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1.6</c:v>
                </c:pt>
                <c:pt idx="4">
                  <c:v>2</c:v>
                </c:pt>
                <c:pt idx="5">
                  <c:v>0.8</c:v>
                </c:pt>
                <c:pt idx="6">
                  <c:v>5</c:v>
                </c:pt>
                <c:pt idx="7">
                  <c:v>3.8</c:v>
                </c:pt>
                <c:pt idx="8">
                  <c:v>5.5</c:v>
                </c:pt>
                <c:pt idx="9">
                  <c:v>3.5</c:v>
                </c:pt>
                <c:pt idx="10">
                  <c:v>2.2999999999999998</c:v>
                </c:pt>
                <c:pt idx="11">
                  <c:v>3.75</c:v>
                </c:pt>
                <c:pt idx="12">
                  <c:v>2.85</c:v>
                </c:pt>
                <c:pt idx="13">
                  <c:v>4</c:v>
                </c:pt>
                <c:pt idx="14">
                  <c:v>5.5</c:v>
                </c:pt>
                <c:pt idx="15">
                  <c:v>7</c:v>
                </c:pt>
                <c:pt idx="16">
                  <c:v>2</c:v>
                </c:pt>
                <c:pt idx="17">
                  <c:v>3.5</c:v>
                </c:pt>
                <c:pt idx="18">
                  <c:v>5</c:v>
                </c:pt>
                <c:pt idx="19">
                  <c:v>0.8</c:v>
                </c:pt>
                <c:pt idx="20">
                  <c:v>2.2999999999999998</c:v>
                </c:pt>
                <c:pt idx="21">
                  <c:v>3.8</c:v>
                </c:pt>
                <c:pt idx="22">
                  <c:v>1.9</c:v>
                </c:pt>
                <c:pt idx="23">
                  <c:v>3.4</c:v>
                </c:pt>
                <c:pt idx="24">
                  <c:v>16</c:v>
                </c:pt>
                <c:pt idx="25">
                  <c:v>17.5</c:v>
                </c:pt>
                <c:pt idx="26">
                  <c:v>19</c:v>
                </c:pt>
                <c:pt idx="27">
                  <c:v>20.5</c:v>
                </c:pt>
                <c:pt idx="28">
                  <c:v>22</c:v>
                </c:pt>
                <c:pt idx="29">
                  <c:v>8</c:v>
                </c:pt>
                <c:pt idx="30">
                  <c:v>9.5</c:v>
                </c:pt>
                <c:pt idx="31">
                  <c:v>11</c:v>
                </c:pt>
                <c:pt idx="32">
                  <c:v>12.5</c:v>
                </c:pt>
                <c:pt idx="33">
                  <c:v>14</c:v>
                </c:pt>
                <c:pt idx="34">
                  <c:v>32</c:v>
                </c:pt>
                <c:pt idx="35">
                  <c:v>33.5</c:v>
                </c:pt>
                <c:pt idx="36">
                  <c:v>35</c:v>
                </c:pt>
                <c:pt idx="37">
                  <c:v>36.5</c:v>
                </c:pt>
                <c:pt idx="38">
                  <c:v>38</c:v>
                </c:pt>
                <c:pt idx="39">
                  <c:v>16</c:v>
                </c:pt>
                <c:pt idx="40">
                  <c:v>17.5</c:v>
                </c:pt>
                <c:pt idx="41">
                  <c:v>19</c:v>
                </c:pt>
                <c:pt idx="42">
                  <c:v>20.5</c:v>
                </c:pt>
                <c:pt idx="43">
                  <c:v>22</c:v>
                </c:pt>
                <c:pt idx="44">
                  <c:v>7</c:v>
                </c:pt>
                <c:pt idx="45">
                  <c:v>8.5</c:v>
                </c:pt>
                <c:pt idx="46">
                  <c:v>10</c:v>
                </c:pt>
                <c:pt idx="47">
                  <c:v>5</c:v>
                </c:pt>
                <c:pt idx="48">
                  <c:v>6.5</c:v>
                </c:pt>
                <c:pt idx="49">
                  <c:v>8</c:v>
                </c:pt>
                <c:pt idx="50">
                  <c:v>8</c:v>
                </c:pt>
                <c:pt idx="51">
                  <c:v>9.5</c:v>
                </c:pt>
                <c:pt idx="52">
                  <c:v>11</c:v>
                </c:pt>
                <c:pt idx="53">
                  <c:v>12.5</c:v>
                </c:pt>
                <c:pt idx="54">
                  <c:v>14</c:v>
                </c:pt>
                <c:pt idx="55">
                  <c:v>4</c:v>
                </c:pt>
                <c:pt idx="56">
                  <c:v>5.5</c:v>
                </c:pt>
                <c:pt idx="57">
                  <c:v>7</c:v>
                </c:pt>
                <c:pt idx="58">
                  <c:v>0</c:v>
                </c:pt>
              </c:numCache>
            </c:numRef>
          </c:cat>
          <c:val>
            <c:numRef>
              <c:f>Main!$M$26:$M$84</c:f>
              <c:numCache>
                <c:formatCode>General</c:formatCode>
                <c:ptCount val="59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1.6</c:v>
                </c:pt>
                <c:pt idx="4">
                  <c:v>2</c:v>
                </c:pt>
                <c:pt idx="5">
                  <c:v>0.8</c:v>
                </c:pt>
                <c:pt idx="6">
                  <c:v>2</c:v>
                </c:pt>
                <c:pt idx="7">
                  <c:v>0.8</c:v>
                </c:pt>
                <c:pt idx="8">
                  <c:v>4</c:v>
                </c:pt>
                <c:pt idx="9">
                  <c:v>2</c:v>
                </c:pt>
                <c:pt idx="10">
                  <c:v>0.8</c:v>
                </c:pt>
                <c:pt idx="11">
                  <c:v>1.5</c:v>
                </c:pt>
                <c:pt idx="12">
                  <c:v>0.6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0.4</c:v>
                </c:pt>
                <c:pt idx="23">
                  <c:v>0.4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DD-4189-B72F-307F57261792}"/>
            </c:ext>
          </c:extLst>
        </c:ser>
        <c:ser>
          <c:idx val="0"/>
          <c:order val="2"/>
          <c:tx>
            <c:strRef>
              <c:f>Main!$L$25</c:f>
              <c:strCache>
                <c:ptCount val="1"/>
                <c:pt idx="0">
                  <c:v>395nm Normalized Dose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Main!$O$26:$O$84</c:f>
              <c:numCache>
                <c:formatCode>General</c:formatCode>
                <c:ptCount val="59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1.6</c:v>
                </c:pt>
                <c:pt idx="4">
                  <c:v>2</c:v>
                </c:pt>
                <c:pt idx="5">
                  <c:v>0.8</c:v>
                </c:pt>
                <c:pt idx="6">
                  <c:v>5</c:v>
                </c:pt>
                <c:pt idx="7">
                  <c:v>3.8</c:v>
                </c:pt>
                <c:pt idx="8">
                  <c:v>5.5</c:v>
                </c:pt>
                <c:pt idx="9">
                  <c:v>3.5</c:v>
                </c:pt>
                <c:pt idx="10">
                  <c:v>2.2999999999999998</c:v>
                </c:pt>
                <c:pt idx="11">
                  <c:v>3.75</c:v>
                </c:pt>
                <c:pt idx="12">
                  <c:v>2.85</c:v>
                </c:pt>
                <c:pt idx="13">
                  <c:v>4</c:v>
                </c:pt>
                <c:pt idx="14">
                  <c:v>5.5</c:v>
                </c:pt>
                <c:pt idx="15">
                  <c:v>7</c:v>
                </c:pt>
                <c:pt idx="16">
                  <c:v>2</c:v>
                </c:pt>
                <c:pt idx="17">
                  <c:v>3.5</c:v>
                </c:pt>
                <c:pt idx="18">
                  <c:v>5</c:v>
                </c:pt>
                <c:pt idx="19">
                  <c:v>0.8</c:v>
                </c:pt>
                <c:pt idx="20">
                  <c:v>2.2999999999999998</c:v>
                </c:pt>
                <c:pt idx="21">
                  <c:v>3.8</c:v>
                </c:pt>
                <c:pt idx="22">
                  <c:v>1.9</c:v>
                </c:pt>
                <c:pt idx="23">
                  <c:v>3.4</c:v>
                </c:pt>
                <c:pt idx="24">
                  <c:v>16</c:v>
                </c:pt>
                <c:pt idx="25">
                  <c:v>17.5</c:v>
                </c:pt>
                <c:pt idx="26">
                  <c:v>19</c:v>
                </c:pt>
                <c:pt idx="27">
                  <c:v>20.5</c:v>
                </c:pt>
                <c:pt idx="28">
                  <c:v>22</c:v>
                </c:pt>
                <c:pt idx="29">
                  <c:v>8</c:v>
                </c:pt>
                <c:pt idx="30">
                  <c:v>9.5</c:v>
                </c:pt>
                <c:pt idx="31">
                  <c:v>11</c:v>
                </c:pt>
                <c:pt idx="32">
                  <c:v>12.5</c:v>
                </c:pt>
                <c:pt idx="33">
                  <c:v>14</c:v>
                </c:pt>
                <c:pt idx="34">
                  <c:v>32</c:v>
                </c:pt>
                <c:pt idx="35">
                  <c:v>33.5</c:v>
                </c:pt>
                <c:pt idx="36">
                  <c:v>35</c:v>
                </c:pt>
                <c:pt idx="37">
                  <c:v>36.5</c:v>
                </c:pt>
                <c:pt idx="38">
                  <c:v>38</c:v>
                </c:pt>
                <c:pt idx="39">
                  <c:v>16</c:v>
                </c:pt>
                <c:pt idx="40">
                  <c:v>17.5</c:v>
                </c:pt>
                <c:pt idx="41">
                  <c:v>19</c:v>
                </c:pt>
                <c:pt idx="42">
                  <c:v>20.5</c:v>
                </c:pt>
                <c:pt idx="43">
                  <c:v>22</c:v>
                </c:pt>
                <c:pt idx="44">
                  <c:v>7</c:v>
                </c:pt>
                <c:pt idx="45">
                  <c:v>8.5</c:v>
                </c:pt>
                <c:pt idx="46">
                  <c:v>10</c:v>
                </c:pt>
                <c:pt idx="47">
                  <c:v>5</c:v>
                </c:pt>
                <c:pt idx="48">
                  <c:v>6.5</c:v>
                </c:pt>
                <c:pt idx="49">
                  <c:v>8</c:v>
                </c:pt>
                <c:pt idx="50">
                  <c:v>8</c:v>
                </c:pt>
                <c:pt idx="51">
                  <c:v>9.5</c:v>
                </c:pt>
                <c:pt idx="52">
                  <c:v>11</c:v>
                </c:pt>
                <c:pt idx="53">
                  <c:v>12.5</c:v>
                </c:pt>
                <c:pt idx="54">
                  <c:v>14</c:v>
                </c:pt>
                <c:pt idx="55">
                  <c:v>4</c:v>
                </c:pt>
                <c:pt idx="56">
                  <c:v>5.5</c:v>
                </c:pt>
                <c:pt idx="57">
                  <c:v>7</c:v>
                </c:pt>
                <c:pt idx="58">
                  <c:v>0</c:v>
                </c:pt>
              </c:numCache>
            </c:numRef>
          </c:cat>
          <c:val>
            <c:numRef>
              <c:f>Main!$L$26:$L$84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DD-4189-B72F-307F5726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0756512"/>
        <c:axId val="630755680"/>
      </c:barChart>
      <c:lineChart>
        <c:grouping val="standard"/>
        <c:varyColors val="0"/>
        <c:ser>
          <c:idx val="3"/>
          <c:order val="3"/>
          <c:tx>
            <c:v>Surface Cure Test</c:v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Main!$AA$26:$AA$84</c:f>
              <c:numCache>
                <c:formatCode>0%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0.1875</c:v>
                </c:pt>
                <c:pt idx="14">
                  <c:v>0.41666666666666669</c:v>
                </c:pt>
                <c:pt idx="15">
                  <c:v>0.75</c:v>
                </c:pt>
                <c:pt idx="16">
                  <c:v>6.25E-2</c:v>
                </c:pt>
                <c:pt idx="17">
                  <c:v>0.375</c:v>
                </c:pt>
                <c:pt idx="18">
                  <c:v>0.75</c:v>
                </c:pt>
                <c:pt idx="19">
                  <c:v>0</c:v>
                </c:pt>
                <c:pt idx="20">
                  <c:v>0.375</c:v>
                </c:pt>
                <c:pt idx="21">
                  <c:v>0.5625</c:v>
                </c:pt>
                <c:pt idx="22">
                  <c:v>0.25</c:v>
                </c:pt>
                <c:pt idx="23">
                  <c:v>0.3125</c:v>
                </c:pt>
                <c:pt idx="24">
                  <c:v>0.5</c:v>
                </c:pt>
                <c:pt idx="25">
                  <c:v>0.375</c:v>
                </c:pt>
                <c:pt idx="26">
                  <c:v>0.75</c:v>
                </c:pt>
                <c:pt idx="27">
                  <c:v>0.875</c:v>
                </c:pt>
                <c:pt idx="28">
                  <c:v>0.875</c:v>
                </c:pt>
                <c:pt idx="29">
                  <c:v>0.25</c:v>
                </c:pt>
                <c:pt idx="30">
                  <c:v>0.25</c:v>
                </c:pt>
                <c:pt idx="31">
                  <c:v>0.5</c:v>
                </c:pt>
                <c:pt idx="32">
                  <c:v>0.75</c:v>
                </c:pt>
                <c:pt idx="33">
                  <c:v>0.625</c:v>
                </c:pt>
                <c:pt idx="34">
                  <c:v>0.375</c:v>
                </c:pt>
                <c:pt idx="35">
                  <c:v>0.25</c:v>
                </c:pt>
                <c:pt idx="36">
                  <c:v>0.5</c:v>
                </c:pt>
                <c:pt idx="37">
                  <c:v>0.375</c:v>
                </c:pt>
                <c:pt idx="38">
                  <c:v>0.75</c:v>
                </c:pt>
                <c:pt idx="39">
                  <c:v>0</c:v>
                </c:pt>
                <c:pt idx="40">
                  <c:v>0.25</c:v>
                </c:pt>
                <c:pt idx="41">
                  <c:v>0.5</c:v>
                </c:pt>
                <c:pt idx="42">
                  <c:v>0.5</c:v>
                </c:pt>
                <c:pt idx="43">
                  <c:v>0.625</c:v>
                </c:pt>
                <c:pt idx="44">
                  <c:v>0.625</c:v>
                </c:pt>
                <c:pt idx="45">
                  <c:v>0.75</c:v>
                </c:pt>
                <c:pt idx="46">
                  <c:v>0.875</c:v>
                </c:pt>
                <c:pt idx="47">
                  <c:v>0.375</c:v>
                </c:pt>
                <c:pt idx="48">
                  <c:v>0.625</c:v>
                </c:pt>
                <c:pt idx="49">
                  <c:v>0.75</c:v>
                </c:pt>
                <c:pt idx="50">
                  <c:v>0</c:v>
                </c:pt>
                <c:pt idx="51">
                  <c:v>0.25</c:v>
                </c:pt>
                <c:pt idx="52">
                  <c:v>0.375</c:v>
                </c:pt>
                <c:pt idx="53">
                  <c:v>0.5</c:v>
                </c:pt>
                <c:pt idx="54">
                  <c:v>0.625</c:v>
                </c:pt>
                <c:pt idx="55">
                  <c:v>0</c:v>
                </c:pt>
                <c:pt idx="56">
                  <c:v>0.375</c:v>
                </c:pt>
                <c:pt idx="57">
                  <c:v>0.375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DD-4189-B72F-307F57261792}"/>
            </c:ext>
          </c:extLst>
        </c:ser>
        <c:ser>
          <c:idx val="4"/>
          <c:order val="4"/>
          <c:tx>
            <c:v>Base Cure Test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Main!$AB$26:$AB$84</c:f>
              <c:numCache>
                <c:formatCode>0%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0.25</c:v>
                </c:pt>
                <c:pt idx="8">
                  <c:v>1</c:v>
                </c:pt>
                <c:pt idx="9">
                  <c:v>1</c:v>
                </c:pt>
                <c:pt idx="10">
                  <c:v>0.75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0.83333333333333337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0.75</c:v>
                </c:pt>
                <c:pt idx="19">
                  <c:v>0</c:v>
                </c:pt>
                <c:pt idx="20">
                  <c:v>0.625</c:v>
                </c:pt>
                <c:pt idx="21">
                  <c:v>0.875</c:v>
                </c:pt>
                <c:pt idx="22">
                  <c:v>0</c:v>
                </c:pt>
                <c:pt idx="23">
                  <c:v>0.125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0.75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0.75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0.625</c:v>
                </c:pt>
                <c:pt idx="57">
                  <c:v>1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0DD-4189-B72F-307F5726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257520"/>
        <c:axId val="1748259600"/>
      </c:lineChart>
      <c:catAx>
        <c:axId val="6307565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0755680"/>
        <c:crosses val="autoZero"/>
        <c:auto val="1"/>
        <c:lblAlgn val="ctr"/>
        <c:lblOffset val="100"/>
        <c:noMultiLvlLbl val="0"/>
      </c:catAx>
      <c:valAx>
        <c:axId val="630755680"/>
        <c:scaling>
          <c:orientation val="minMax"/>
          <c:max val="40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Irradiance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756512"/>
        <c:crosses val="autoZero"/>
        <c:crossBetween val="between"/>
      </c:valAx>
      <c:valAx>
        <c:axId val="1748259600"/>
        <c:scaling>
          <c:orientation val="minMax"/>
          <c:max val="1.0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Cure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257520"/>
        <c:crosses val="max"/>
        <c:crossBetween val="between"/>
        <c:majorUnit val="0.25"/>
      </c:valAx>
      <c:catAx>
        <c:axId val="1748257520"/>
        <c:scaling>
          <c:orientation val="minMax"/>
        </c:scaling>
        <c:delete val="1"/>
        <c:axPos val="b"/>
        <c:majorTickMark val="out"/>
        <c:minorTickMark val="none"/>
        <c:tickLblPos val="nextTo"/>
        <c:crossAx val="1748259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Cure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Main!$O$26:$O$84</c:f>
              <c:numCache>
                <c:formatCode>General</c:formatCode>
                <c:ptCount val="59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1.6</c:v>
                </c:pt>
                <c:pt idx="4">
                  <c:v>2</c:v>
                </c:pt>
                <c:pt idx="5">
                  <c:v>0.8</c:v>
                </c:pt>
                <c:pt idx="6">
                  <c:v>5</c:v>
                </c:pt>
                <c:pt idx="7">
                  <c:v>3.8</c:v>
                </c:pt>
                <c:pt idx="8">
                  <c:v>5.5</c:v>
                </c:pt>
                <c:pt idx="9">
                  <c:v>3.5</c:v>
                </c:pt>
                <c:pt idx="10">
                  <c:v>2.2999999999999998</c:v>
                </c:pt>
                <c:pt idx="11">
                  <c:v>3.75</c:v>
                </c:pt>
                <c:pt idx="12">
                  <c:v>2.85</c:v>
                </c:pt>
                <c:pt idx="13">
                  <c:v>4</c:v>
                </c:pt>
                <c:pt idx="14">
                  <c:v>5.5</c:v>
                </c:pt>
                <c:pt idx="15">
                  <c:v>7</c:v>
                </c:pt>
                <c:pt idx="16">
                  <c:v>2</c:v>
                </c:pt>
                <c:pt idx="17">
                  <c:v>3.5</c:v>
                </c:pt>
                <c:pt idx="18">
                  <c:v>5</c:v>
                </c:pt>
                <c:pt idx="19">
                  <c:v>0.8</c:v>
                </c:pt>
                <c:pt idx="20">
                  <c:v>2.2999999999999998</c:v>
                </c:pt>
                <c:pt idx="21">
                  <c:v>3.8</c:v>
                </c:pt>
                <c:pt idx="22">
                  <c:v>1.9</c:v>
                </c:pt>
                <c:pt idx="23">
                  <c:v>3.4</c:v>
                </c:pt>
                <c:pt idx="24">
                  <c:v>16</c:v>
                </c:pt>
                <c:pt idx="25">
                  <c:v>17.5</c:v>
                </c:pt>
                <c:pt idx="26">
                  <c:v>19</c:v>
                </c:pt>
                <c:pt idx="27">
                  <c:v>20.5</c:v>
                </c:pt>
                <c:pt idx="28">
                  <c:v>22</c:v>
                </c:pt>
                <c:pt idx="29">
                  <c:v>8</c:v>
                </c:pt>
                <c:pt idx="30">
                  <c:v>9.5</c:v>
                </c:pt>
                <c:pt idx="31">
                  <c:v>11</c:v>
                </c:pt>
                <c:pt idx="32">
                  <c:v>12.5</c:v>
                </c:pt>
                <c:pt idx="33">
                  <c:v>14</c:v>
                </c:pt>
                <c:pt idx="34">
                  <c:v>32</c:v>
                </c:pt>
                <c:pt idx="35">
                  <c:v>33.5</c:v>
                </c:pt>
                <c:pt idx="36">
                  <c:v>35</c:v>
                </c:pt>
                <c:pt idx="37">
                  <c:v>36.5</c:v>
                </c:pt>
                <c:pt idx="38">
                  <c:v>38</c:v>
                </c:pt>
                <c:pt idx="39">
                  <c:v>16</c:v>
                </c:pt>
                <c:pt idx="40">
                  <c:v>17.5</c:v>
                </c:pt>
                <c:pt idx="41">
                  <c:v>19</c:v>
                </c:pt>
                <c:pt idx="42">
                  <c:v>20.5</c:v>
                </c:pt>
                <c:pt idx="43">
                  <c:v>22</c:v>
                </c:pt>
                <c:pt idx="44">
                  <c:v>7</c:v>
                </c:pt>
                <c:pt idx="45">
                  <c:v>8.5</c:v>
                </c:pt>
                <c:pt idx="46">
                  <c:v>10</c:v>
                </c:pt>
                <c:pt idx="47">
                  <c:v>5</c:v>
                </c:pt>
                <c:pt idx="48">
                  <c:v>6.5</c:v>
                </c:pt>
                <c:pt idx="49">
                  <c:v>8</c:v>
                </c:pt>
                <c:pt idx="50">
                  <c:v>8</c:v>
                </c:pt>
                <c:pt idx="51">
                  <c:v>9.5</c:v>
                </c:pt>
                <c:pt idx="52">
                  <c:v>11</c:v>
                </c:pt>
                <c:pt idx="53">
                  <c:v>12.5</c:v>
                </c:pt>
                <c:pt idx="54">
                  <c:v>14</c:v>
                </c:pt>
                <c:pt idx="55">
                  <c:v>4</c:v>
                </c:pt>
                <c:pt idx="56">
                  <c:v>5.5</c:v>
                </c:pt>
                <c:pt idx="57">
                  <c:v>7</c:v>
                </c:pt>
                <c:pt idx="58">
                  <c:v>0</c:v>
                </c:pt>
              </c:numCache>
            </c:numRef>
          </c:xVal>
          <c:yVal>
            <c:numRef>
              <c:f>Main!$AA$26:$AA$84</c:f>
              <c:numCache>
                <c:formatCode>0%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0.1875</c:v>
                </c:pt>
                <c:pt idx="14">
                  <c:v>0.41666666666666669</c:v>
                </c:pt>
                <c:pt idx="15">
                  <c:v>0.75</c:v>
                </c:pt>
                <c:pt idx="16">
                  <c:v>6.25E-2</c:v>
                </c:pt>
                <c:pt idx="17">
                  <c:v>0.375</c:v>
                </c:pt>
                <c:pt idx="18">
                  <c:v>0.75</c:v>
                </c:pt>
                <c:pt idx="19">
                  <c:v>0</c:v>
                </c:pt>
                <c:pt idx="20">
                  <c:v>0.375</c:v>
                </c:pt>
                <c:pt idx="21">
                  <c:v>0.5625</c:v>
                </c:pt>
                <c:pt idx="22">
                  <c:v>0.25</c:v>
                </c:pt>
                <c:pt idx="23">
                  <c:v>0.3125</c:v>
                </c:pt>
                <c:pt idx="24">
                  <c:v>0.5</c:v>
                </c:pt>
                <c:pt idx="25">
                  <c:v>0.375</c:v>
                </c:pt>
                <c:pt idx="26">
                  <c:v>0.75</c:v>
                </c:pt>
                <c:pt idx="27">
                  <c:v>0.875</c:v>
                </c:pt>
                <c:pt idx="28">
                  <c:v>0.875</c:v>
                </c:pt>
                <c:pt idx="29">
                  <c:v>0.25</c:v>
                </c:pt>
                <c:pt idx="30">
                  <c:v>0.25</c:v>
                </c:pt>
                <c:pt idx="31">
                  <c:v>0.5</c:v>
                </c:pt>
                <c:pt idx="32">
                  <c:v>0.75</c:v>
                </c:pt>
                <c:pt idx="33">
                  <c:v>0.625</c:v>
                </c:pt>
                <c:pt idx="34">
                  <c:v>0.375</c:v>
                </c:pt>
                <c:pt idx="35">
                  <c:v>0.25</c:v>
                </c:pt>
                <c:pt idx="36">
                  <c:v>0.5</c:v>
                </c:pt>
                <c:pt idx="37">
                  <c:v>0.375</c:v>
                </c:pt>
                <c:pt idx="38">
                  <c:v>0.75</c:v>
                </c:pt>
                <c:pt idx="39">
                  <c:v>0</c:v>
                </c:pt>
                <c:pt idx="40">
                  <c:v>0.25</c:v>
                </c:pt>
                <c:pt idx="41">
                  <c:v>0.5</c:v>
                </c:pt>
                <c:pt idx="42">
                  <c:v>0.5</c:v>
                </c:pt>
                <c:pt idx="43">
                  <c:v>0.625</c:v>
                </c:pt>
                <c:pt idx="44">
                  <c:v>0.625</c:v>
                </c:pt>
                <c:pt idx="45">
                  <c:v>0.75</c:v>
                </c:pt>
                <c:pt idx="46">
                  <c:v>0.875</c:v>
                </c:pt>
                <c:pt idx="47">
                  <c:v>0.375</c:v>
                </c:pt>
                <c:pt idx="48">
                  <c:v>0.625</c:v>
                </c:pt>
                <c:pt idx="49">
                  <c:v>0.75</c:v>
                </c:pt>
                <c:pt idx="50">
                  <c:v>0</c:v>
                </c:pt>
                <c:pt idx="51">
                  <c:v>0.25</c:v>
                </c:pt>
                <c:pt idx="52">
                  <c:v>0.375</c:v>
                </c:pt>
                <c:pt idx="53">
                  <c:v>0.5</c:v>
                </c:pt>
                <c:pt idx="54">
                  <c:v>0.625</c:v>
                </c:pt>
                <c:pt idx="55">
                  <c:v>0</c:v>
                </c:pt>
                <c:pt idx="56">
                  <c:v>0.375</c:v>
                </c:pt>
                <c:pt idx="57">
                  <c:v>0.375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8-4CB2-8768-63E082F35691}"/>
            </c:ext>
          </c:extLst>
        </c:ser>
        <c:ser>
          <c:idx val="1"/>
          <c:order val="1"/>
          <c:tx>
            <c:v>UVC 275nm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dash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Main!$N$26:$N$84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2.25</c:v>
                </c:pt>
                <c:pt idx="12">
                  <c:v>2.25</c:v>
                </c:pt>
                <c:pt idx="13">
                  <c:v>0</c:v>
                </c:pt>
                <c:pt idx="14">
                  <c:v>1.5</c:v>
                </c:pt>
                <c:pt idx="15">
                  <c:v>3</c:v>
                </c:pt>
                <c:pt idx="16">
                  <c:v>0</c:v>
                </c:pt>
                <c:pt idx="17">
                  <c:v>1.5</c:v>
                </c:pt>
                <c:pt idx="18">
                  <c:v>3</c:v>
                </c:pt>
                <c:pt idx="19">
                  <c:v>0</c:v>
                </c:pt>
                <c:pt idx="20">
                  <c:v>1.5</c:v>
                </c:pt>
                <c:pt idx="21">
                  <c:v>3</c:v>
                </c:pt>
                <c:pt idx="22">
                  <c:v>1.5</c:v>
                </c:pt>
                <c:pt idx="23">
                  <c:v>3</c:v>
                </c:pt>
                <c:pt idx="24">
                  <c:v>0</c:v>
                </c:pt>
                <c:pt idx="25">
                  <c:v>1.5</c:v>
                </c:pt>
                <c:pt idx="26">
                  <c:v>3</c:v>
                </c:pt>
                <c:pt idx="27">
                  <c:v>4.5</c:v>
                </c:pt>
                <c:pt idx="28">
                  <c:v>6</c:v>
                </c:pt>
                <c:pt idx="29">
                  <c:v>0</c:v>
                </c:pt>
                <c:pt idx="30">
                  <c:v>1.5</c:v>
                </c:pt>
                <c:pt idx="31">
                  <c:v>3</c:v>
                </c:pt>
                <c:pt idx="32">
                  <c:v>4.5</c:v>
                </c:pt>
                <c:pt idx="33">
                  <c:v>6</c:v>
                </c:pt>
                <c:pt idx="34">
                  <c:v>0</c:v>
                </c:pt>
                <c:pt idx="35">
                  <c:v>1.5</c:v>
                </c:pt>
                <c:pt idx="36">
                  <c:v>3</c:v>
                </c:pt>
                <c:pt idx="37">
                  <c:v>4.5</c:v>
                </c:pt>
                <c:pt idx="38">
                  <c:v>6</c:v>
                </c:pt>
                <c:pt idx="39">
                  <c:v>0</c:v>
                </c:pt>
                <c:pt idx="40">
                  <c:v>1.5</c:v>
                </c:pt>
                <c:pt idx="41">
                  <c:v>3</c:v>
                </c:pt>
                <c:pt idx="42">
                  <c:v>4.5</c:v>
                </c:pt>
                <c:pt idx="43">
                  <c:v>6</c:v>
                </c:pt>
                <c:pt idx="44">
                  <c:v>3</c:v>
                </c:pt>
                <c:pt idx="45">
                  <c:v>4.5</c:v>
                </c:pt>
                <c:pt idx="46">
                  <c:v>6</c:v>
                </c:pt>
                <c:pt idx="47">
                  <c:v>3</c:v>
                </c:pt>
                <c:pt idx="48">
                  <c:v>4.5</c:v>
                </c:pt>
                <c:pt idx="49">
                  <c:v>6</c:v>
                </c:pt>
                <c:pt idx="50">
                  <c:v>0</c:v>
                </c:pt>
                <c:pt idx="51">
                  <c:v>1.5</c:v>
                </c:pt>
                <c:pt idx="52">
                  <c:v>3</c:v>
                </c:pt>
                <c:pt idx="53">
                  <c:v>4.5</c:v>
                </c:pt>
                <c:pt idx="54">
                  <c:v>6</c:v>
                </c:pt>
                <c:pt idx="55">
                  <c:v>0</c:v>
                </c:pt>
                <c:pt idx="56">
                  <c:v>1.5</c:v>
                </c:pt>
                <c:pt idx="57">
                  <c:v>3</c:v>
                </c:pt>
                <c:pt idx="58">
                  <c:v>0</c:v>
                </c:pt>
              </c:numCache>
            </c:numRef>
          </c:xVal>
          <c:yVal>
            <c:numRef>
              <c:f>Main!$AA$26:$AA$84</c:f>
              <c:numCache>
                <c:formatCode>0%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0.1875</c:v>
                </c:pt>
                <c:pt idx="14">
                  <c:v>0.41666666666666669</c:v>
                </c:pt>
                <c:pt idx="15">
                  <c:v>0.75</c:v>
                </c:pt>
                <c:pt idx="16">
                  <c:v>6.25E-2</c:v>
                </c:pt>
                <c:pt idx="17">
                  <c:v>0.375</c:v>
                </c:pt>
                <c:pt idx="18">
                  <c:v>0.75</c:v>
                </c:pt>
                <c:pt idx="19">
                  <c:v>0</c:v>
                </c:pt>
                <c:pt idx="20">
                  <c:v>0.375</c:v>
                </c:pt>
                <c:pt idx="21">
                  <c:v>0.5625</c:v>
                </c:pt>
                <c:pt idx="22">
                  <c:v>0.25</c:v>
                </c:pt>
                <c:pt idx="23">
                  <c:v>0.3125</c:v>
                </c:pt>
                <c:pt idx="24">
                  <c:v>0.5</c:v>
                </c:pt>
                <c:pt idx="25">
                  <c:v>0.375</c:v>
                </c:pt>
                <c:pt idx="26">
                  <c:v>0.75</c:v>
                </c:pt>
                <c:pt idx="27">
                  <c:v>0.875</c:v>
                </c:pt>
                <c:pt idx="28">
                  <c:v>0.875</c:v>
                </c:pt>
                <c:pt idx="29">
                  <c:v>0.25</c:v>
                </c:pt>
                <c:pt idx="30">
                  <c:v>0.25</c:v>
                </c:pt>
                <c:pt idx="31">
                  <c:v>0.5</c:v>
                </c:pt>
                <c:pt idx="32">
                  <c:v>0.75</c:v>
                </c:pt>
                <c:pt idx="33">
                  <c:v>0.625</c:v>
                </c:pt>
                <c:pt idx="34">
                  <c:v>0.375</c:v>
                </c:pt>
                <c:pt idx="35">
                  <c:v>0.25</c:v>
                </c:pt>
                <c:pt idx="36">
                  <c:v>0.5</c:v>
                </c:pt>
                <c:pt idx="37">
                  <c:v>0.375</c:v>
                </c:pt>
                <c:pt idx="38">
                  <c:v>0.75</c:v>
                </c:pt>
                <c:pt idx="39">
                  <c:v>0</c:v>
                </c:pt>
                <c:pt idx="40">
                  <c:v>0.25</c:v>
                </c:pt>
                <c:pt idx="41">
                  <c:v>0.5</c:v>
                </c:pt>
                <c:pt idx="42">
                  <c:v>0.5</c:v>
                </c:pt>
                <c:pt idx="43">
                  <c:v>0.625</c:v>
                </c:pt>
                <c:pt idx="44">
                  <c:v>0.625</c:v>
                </c:pt>
                <c:pt idx="45">
                  <c:v>0.75</c:v>
                </c:pt>
                <c:pt idx="46">
                  <c:v>0.875</c:v>
                </c:pt>
                <c:pt idx="47">
                  <c:v>0.375</c:v>
                </c:pt>
                <c:pt idx="48">
                  <c:v>0.625</c:v>
                </c:pt>
                <c:pt idx="49">
                  <c:v>0.75</c:v>
                </c:pt>
                <c:pt idx="50">
                  <c:v>0</c:v>
                </c:pt>
                <c:pt idx="51">
                  <c:v>0.25</c:v>
                </c:pt>
                <c:pt idx="52">
                  <c:v>0.375</c:v>
                </c:pt>
                <c:pt idx="53">
                  <c:v>0.5</c:v>
                </c:pt>
                <c:pt idx="54">
                  <c:v>0.625</c:v>
                </c:pt>
                <c:pt idx="55">
                  <c:v>0</c:v>
                </c:pt>
                <c:pt idx="56">
                  <c:v>0.375</c:v>
                </c:pt>
                <c:pt idx="57">
                  <c:v>0.375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E8-4CB2-8768-63E082F35691}"/>
            </c:ext>
          </c:extLst>
        </c:ser>
        <c:ser>
          <c:idx val="2"/>
          <c:order val="2"/>
          <c:tx>
            <c:v>UVA 365nm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002060"/>
                </a:solidFill>
                <a:prstDash val="dash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Main!$M$26:$M$84</c:f>
              <c:numCache>
                <c:formatCode>General</c:formatCode>
                <c:ptCount val="59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1.6</c:v>
                </c:pt>
                <c:pt idx="4">
                  <c:v>2</c:v>
                </c:pt>
                <c:pt idx="5">
                  <c:v>0.8</c:v>
                </c:pt>
                <c:pt idx="6">
                  <c:v>2</c:v>
                </c:pt>
                <c:pt idx="7">
                  <c:v>0.8</c:v>
                </c:pt>
                <c:pt idx="8">
                  <c:v>4</c:v>
                </c:pt>
                <c:pt idx="9">
                  <c:v>2</c:v>
                </c:pt>
                <c:pt idx="10">
                  <c:v>0.8</c:v>
                </c:pt>
                <c:pt idx="11">
                  <c:v>1.5</c:v>
                </c:pt>
                <c:pt idx="12">
                  <c:v>0.6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0.4</c:v>
                </c:pt>
                <c:pt idx="23">
                  <c:v>0.4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xVal>
          <c:yVal>
            <c:numRef>
              <c:f>Main!$AA$26:$AA$84</c:f>
              <c:numCache>
                <c:formatCode>0%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0.1875</c:v>
                </c:pt>
                <c:pt idx="14">
                  <c:v>0.41666666666666669</c:v>
                </c:pt>
                <c:pt idx="15">
                  <c:v>0.75</c:v>
                </c:pt>
                <c:pt idx="16">
                  <c:v>6.25E-2</c:v>
                </c:pt>
                <c:pt idx="17">
                  <c:v>0.375</c:v>
                </c:pt>
                <c:pt idx="18">
                  <c:v>0.75</c:v>
                </c:pt>
                <c:pt idx="19">
                  <c:v>0</c:v>
                </c:pt>
                <c:pt idx="20">
                  <c:v>0.375</c:v>
                </c:pt>
                <c:pt idx="21">
                  <c:v>0.5625</c:v>
                </c:pt>
                <c:pt idx="22">
                  <c:v>0.25</c:v>
                </c:pt>
                <c:pt idx="23">
                  <c:v>0.3125</c:v>
                </c:pt>
                <c:pt idx="24">
                  <c:v>0.5</c:v>
                </c:pt>
                <c:pt idx="25">
                  <c:v>0.375</c:v>
                </c:pt>
                <c:pt idx="26">
                  <c:v>0.75</c:v>
                </c:pt>
                <c:pt idx="27">
                  <c:v>0.875</c:v>
                </c:pt>
                <c:pt idx="28">
                  <c:v>0.875</c:v>
                </c:pt>
                <c:pt idx="29">
                  <c:v>0.25</c:v>
                </c:pt>
                <c:pt idx="30">
                  <c:v>0.25</c:v>
                </c:pt>
                <c:pt idx="31">
                  <c:v>0.5</c:v>
                </c:pt>
                <c:pt idx="32">
                  <c:v>0.75</c:v>
                </c:pt>
                <c:pt idx="33">
                  <c:v>0.625</c:v>
                </c:pt>
                <c:pt idx="34">
                  <c:v>0.375</c:v>
                </c:pt>
                <c:pt idx="35">
                  <c:v>0.25</c:v>
                </c:pt>
                <c:pt idx="36">
                  <c:v>0.5</c:v>
                </c:pt>
                <c:pt idx="37">
                  <c:v>0.375</c:v>
                </c:pt>
                <c:pt idx="38">
                  <c:v>0.75</c:v>
                </c:pt>
                <c:pt idx="39">
                  <c:v>0</c:v>
                </c:pt>
                <c:pt idx="40">
                  <c:v>0.25</c:v>
                </c:pt>
                <c:pt idx="41">
                  <c:v>0.5</c:v>
                </c:pt>
                <c:pt idx="42">
                  <c:v>0.5</c:v>
                </c:pt>
                <c:pt idx="43">
                  <c:v>0.625</c:v>
                </c:pt>
                <c:pt idx="44">
                  <c:v>0.625</c:v>
                </c:pt>
                <c:pt idx="45">
                  <c:v>0.75</c:v>
                </c:pt>
                <c:pt idx="46">
                  <c:v>0.875</c:v>
                </c:pt>
                <c:pt idx="47">
                  <c:v>0.375</c:v>
                </c:pt>
                <c:pt idx="48">
                  <c:v>0.625</c:v>
                </c:pt>
                <c:pt idx="49">
                  <c:v>0.75</c:v>
                </c:pt>
                <c:pt idx="50">
                  <c:v>0</c:v>
                </c:pt>
                <c:pt idx="51">
                  <c:v>0.25</c:v>
                </c:pt>
                <c:pt idx="52">
                  <c:v>0.375</c:v>
                </c:pt>
                <c:pt idx="53">
                  <c:v>0.5</c:v>
                </c:pt>
                <c:pt idx="54">
                  <c:v>0.625</c:v>
                </c:pt>
                <c:pt idx="55">
                  <c:v>0</c:v>
                </c:pt>
                <c:pt idx="56">
                  <c:v>0.375</c:v>
                </c:pt>
                <c:pt idx="57">
                  <c:v>0.375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E8-4CB2-8768-63E082F35691}"/>
            </c:ext>
          </c:extLst>
        </c:ser>
        <c:ser>
          <c:idx val="3"/>
          <c:order val="3"/>
          <c:tx>
            <c:v>UVA 395nm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00B0F0"/>
                </a:solidFill>
                <a:prstDash val="dash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Main!$L$26:$L$84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0</c:v>
                </c:pt>
              </c:numCache>
            </c:numRef>
          </c:xVal>
          <c:yVal>
            <c:numRef>
              <c:f>Main!$AA$26:$AA$84</c:f>
              <c:numCache>
                <c:formatCode>0%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0.1875</c:v>
                </c:pt>
                <c:pt idx="14">
                  <c:v>0.41666666666666669</c:v>
                </c:pt>
                <c:pt idx="15">
                  <c:v>0.75</c:v>
                </c:pt>
                <c:pt idx="16">
                  <c:v>6.25E-2</c:v>
                </c:pt>
                <c:pt idx="17">
                  <c:v>0.375</c:v>
                </c:pt>
                <c:pt idx="18">
                  <c:v>0.75</c:v>
                </c:pt>
                <c:pt idx="19">
                  <c:v>0</c:v>
                </c:pt>
                <c:pt idx="20">
                  <c:v>0.375</c:v>
                </c:pt>
                <c:pt idx="21">
                  <c:v>0.5625</c:v>
                </c:pt>
                <c:pt idx="22">
                  <c:v>0.25</c:v>
                </c:pt>
                <c:pt idx="23">
                  <c:v>0.3125</c:v>
                </c:pt>
                <c:pt idx="24">
                  <c:v>0.5</c:v>
                </c:pt>
                <c:pt idx="25">
                  <c:v>0.375</c:v>
                </c:pt>
                <c:pt idx="26">
                  <c:v>0.75</c:v>
                </c:pt>
                <c:pt idx="27">
                  <c:v>0.875</c:v>
                </c:pt>
                <c:pt idx="28">
                  <c:v>0.875</c:v>
                </c:pt>
                <c:pt idx="29">
                  <c:v>0.25</c:v>
                </c:pt>
                <c:pt idx="30">
                  <c:v>0.25</c:v>
                </c:pt>
                <c:pt idx="31">
                  <c:v>0.5</c:v>
                </c:pt>
                <c:pt idx="32">
                  <c:v>0.75</c:v>
                </c:pt>
                <c:pt idx="33">
                  <c:v>0.625</c:v>
                </c:pt>
                <c:pt idx="34">
                  <c:v>0.375</c:v>
                </c:pt>
                <c:pt idx="35">
                  <c:v>0.25</c:v>
                </c:pt>
                <c:pt idx="36">
                  <c:v>0.5</c:v>
                </c:pt>
                <c:pt idx="37">
                  <c:v>0.375</c:v>
                </c:pt>
                <c:pt idx="38">
                  <c:v>0.75</c:v>
                </c:pt>
                <c:pt idx="39">
                  <c:v>0</c:v>
                </c:pt>
                <c:pt idx="40">
                  <c:v>0.25</c:v>
                </c:pt>
                <c:pt idx="41">
                  <c:v>0.5</c:v>
                </c:pt>
                <c:pt idx="42">
                  <c:v>0.5</c:v>
                </c:pt>
                <c:pt idx="43">
                  <c:v>0.625</c:v>
                </c:pt>
                <c:pt idx="44">
                  <c:v>0.625</c:v>
                </c:pt>
                <c:pt idx="45">
                  <c:v>0.75</c:v>
                </c:pt>
                <c:pt idx="46">
                  <c:v>0.875</c:v>
                </c:pt>
                <c:pt idx="47">
                  <c:v>0.375</c:v>
                </c:pt>
                <c:pt idx="48">
                  <c:v>0.625</c:v>
                </c:pt>
                <c:pt idx="49">
                  <c:v>0.75</c:v>
                </c:pt>
                <c:pt idx="50">
                  <c:v>0</c:v>
                </c:pt>
                <c:pt idx="51">
                  <c:v>0.25</c:v>
                </c:pt>
                <c:pt idx="52">
                  <c:v>0.375</c:v>
                </c:pt>
                <c:pt idx="53">
                  <c:v>0.5</c:v>
                </c:pt>
                <c:pt idx="54">
                  <c:v>0.625</c:v>
                </c:pt>
                <c:pt idx="55">
                  <c:v>0</c:v>
                </c:pt>
                <c:pt idx="56">
                  <c:v>0.375</c:v>
                </c:pt>
                <c:pt idx="57">
                  <c:v>0.375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E8-4CB2-8768-63E082F35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63439"/>
        <c:axId val="127063855"/>
      </c:scatterChart>
      <c:valAx>
        <c:axId val="127063439"/>
        <c:scaling>
          <c:orientation val="minMax"/>
          <c:max val="3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3855"/>
        <c:crosses val="autoZero"/>
        <c:crossBetween val="midCat"/>
        <c:majorUnit val="4"/>
      </c:valAx>
      <c:valAx>
        <c:axId val="12706385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34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Base Cure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Power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inear"/>
            <c:dispRSqr val="0"/>
            <c:dispEq val="0"/>
          </c:trendline>
          <c:xVal>
            <c:numRef>
              <c:f>Main!$O$26:$O$84</c:f>
              <c:numCache>
                <c:formatCode>General</c:formatCode>
                <c:ptCount val="59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1.6</c:v>
                </c:pt>
                <c:pt idx="4">
                  <c:v>2</c:v>
                </c:pt>
                <c:pt idx="5">
                  <c:v>0.8</c:v>
                </c:pt>
                <c:pt idx="6">
                  <c:v>5</c:v>
                </c:pt>
                <c:pt idx="7">
                  <c:v>3.8</c:v>
                </c:pt>
                <c:pt idx="8">
                  <c:v>5.5</c:v>
                </c:pt>
                <c:pt idx="9">
                  <c:v>3.5</c:v>
                </c:pt>
                <c:pt idx="10">
                  <c:v>2.2999999999999998</c:v>
                </c:pt>
                <c:pt idx="11">
                  <c:v>3.75</c:v>
                </c:pt>
                <c:pt idx="12">
                  <c:v>2.85</c:v>
                </c:pt>
                <c:pt idx="13">
                  <c:v>4</c:v>
                </c:pt>
                <c:pt idx="14">
                  <c:v>5.5</c:v>
                </c:pt>
                <c:pt idx="15">
                  <c:v>7</c:v>
                </c:pt>
                <c:pt idx="16">
                  <c:v>2</c:v>
                </c:pt>
                <c:pt idx="17">
                  <c:v>3.5</c:v>
                </c:pt>
                <c:pt idx="18">
                  <c:v>5</c:v>
                </c:pt>
                <c:pt idx="19">
                  <c:v>0.8</c:v>
                </c:pt>
                <c:pt idx="20">
                  <c:v>2.2999999999999998</c:v>
                </c:pt>
                <c:pt idx="21">
                  <c:v>3.8</c:v>
                </c:pt>
                <c:pt idx="22">
                  <c:v>1.9</c:v>
                </c:pt>
                <c:pt idx="23">
                  <c:v>3.4</c:v>
                </c:pt>
                <c:pt idx="24">
                  <c:v>16</c:v>
                </c:pt>
                <c:pt idx="25">
                  <c:v>17.5</c:v>
                </c:pt>
                <c:pt idx="26">
                  <c:v>19</c:v>
                </c:pt>
                <c:pt idx="27">
                  <c:v>20.5</c:v>
                </c:pt>
                <c:pt idx="28">
                  <c:v>22</c:v>
                </c:pt>
                <c:pt idx="29">
                  <c:v>8</c:v>
                </c:pt>
                <c:pt idx="30">
                  <c:v>9.5</c:v>
                </c:pt>
                <c:pt idx="31">
                  <c:v>11</c:v>
                </c:pt>
                <c:pt idx="32">
                  <c:v>12.5</c:v>
                </c:pt>
                <c:pt idx="33">
                  <c:v>14</c:v>
                </c:pt>
                <c:pt idx="34">
                  <c:v>32</c:v>
                </c:pt>
                <c:pt idx="35">
                  <c:v>33.5</c:v>
                </c:pt>
                <c:pt idx="36">
                  <c:v>35</c:v>
                </c:pt>
                <c:pt idx="37">
                  <c:v>36.5</c:v>
                </c:pt>
                <c:pt idx="38">
                  <c:v>38</c:v>
                </c:pt>
                <c:pt idx="39">
                  <c:v>16</c:v>
                </c:pt>
                <c:pt idx="40">
                  <c:v>17.5</c:v>
                </c:pt>
                <c:pt idx="41">
                  <c:v>19</c:v>
                </c:pt>
                <c:pt idx="42">
                  <c:v>20.5</c:v>
                </c:pt>
                <c:pt idx="43">
                  <c:v>22</c:v>
                </c:pt>
                <c:pt idx="44">
                  <c:v>7</c:v>
                </c:pt>
                <c:pt idx="45">
                  <c:v>8.5</c:v>
                </c:pt>
                <c:pt idx="46">
                  <c:v>10</c:v>
                </c:pt>
                <c:pt idx="47">
                  <c:v>5</c:v>
                </c:pt>
                <c:pt idx="48">
                  <c:v>6.5</c:v>
                </c:pt>
                <c:pt idx="49">
                  <c:v>8</c:v>
                </c:pt>
                <c:pt idx="50">
                  <c:v>8</c:v>
                </c:pt>
                <c:pt idx="51">
                  <c:v>9.5</c:v>
                </c:pt>
                <c:pt idx="52">
                  <c:v>11</c:v>
                </c:pt>
                <c:pt idx="53">
                  <c:v>12.5</c:v>
                </c:pt>
                <c:pt idx="54">
                  <c:v>14</c:v>
                </c:pt>
                <c:pt idx="55">
                  <c:v>4</c:v>
                </c:pt>
                <c:pt idx="56">
                  <c:v>5.5</c:v>
                </c:pt>
                <c:pt idx="57">
                  <c:v>7</c:v>
                </c:pt>
                <c:pt idx="58">
                  <c:v>0</c:v>
                </c:pt>
              </c:numCache>
            </c:numRef>
          </c:xVal>
          <c:yVal>
            <c:numRef>
              <c:f>Main!$AB$26:$AB$84</c:f>
              <c:numCache>
                <c:formatCode>0%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0.25</c:v>
                </c:pt>
                <c:pt idx="8">
                  <c:v>1</c:v>
                </c:pt>
                <c:pt idx="9">
                  <c:v>1</c:v>
                </c:pt>
                <c:pt idx="10">
                  <c:v>0.75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0.83333333333333337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0.75</c:v>
                </c:pt>
                <c:pt idx="19">
                  <c:v>0</c:v>
                </c:pt>
                <c:pt idx="20">
                  <c:v>0.625</c:v>
                </c:pt>
                <c:pt idx="21">
                  <c:v>0.875</c:v>
                </c:pt>
                <c:pt idx="22">
                  <c:v>0</c:v>
                </c:pt>
                <c:pt idx="23">
                  <c:v>0.125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0.75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0.75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0.625</c:v>
                </c:pt>
                <c:pt idx="57">
                  <c:v>1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D2-4BF4-B20C-A6D916416B2B}"/>
            </c:ext>
          </c:extLst>
        </c:ser>
        <c:ser>
          <c:idx val="1"/>
          <c:order val="1"/>
          <c:tx>
            <c:v>UVC 275nm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dash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Main!$N$26:$N$84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2.25</c:v>
                </c:pt>
                <c:pt idx="12">
                  <c:v>2.25</c:v>
                </c:pt>
                <c:pt idx="13">
                  <c:v>0</c:v>
                </c:pt>
                <c:pt idx="14">
                  <c:v>1.5</c:v>
                </c:pt>
                <c:pt idx="15">
                  <c:v>3</c:v>
                </c:pt>
                <c:pt idx="16">
                  <c:v>0</c:v>
                </c:pt>
                <c:pt idx="17">
                  <c:v>1.5</c:v>
                </c:pt>
                <c:pt idx="18">
                  <c:v>3</c:v>
                </c:pt>
                <c:pt idx="19">
                  <c:v>0</c:v>
                </c:pt>
                <c:pt idx="20">
                  <c:v>1.5</c:v>
                </c:pt>
                <c:pt idx="21">
                  <c:v>3</c:v>
                </c:pt>
                <c:pt idx="22">
                  <c:v>1.5</c:v>
                </c:pt>
                <c:pt idx="23">
                  <c:v>3</c:v>
                </c:pt>
                <c:pt idx="24">
                  <c:v>0</c:v>
                </c:pt>
                <c:pt idx="25">
                  <c:v>1.5</c:v>
                </c:pt>
                <c:pt idx="26">
                  <c:v>3</c:v>
                </c:pt>
                <c:pt idx="27">
                  <c:v>4.5</c:v>
                </c:pt>
                <c:pt idx="28">
                  <c:v>6</c:v>
                </c:pt>
                <c:pt idx="29">
                  <c:v>0</c:v>
                </c:pt>
                <c:pt idx="30">
                  <c:v>1.5</c:v>
                </c:pt>
                <c:pt idx="31">
                  <c:v>3</c:v>
                </c:pt>
                <c:pt idx="32">
                  <c:v>4.5</c:v>
                </c:pt>
                <c:pt idx="33">
                  <c:v>6</c:v>
                </c:pt>
                <c:pt idx="34">
                  <c:v>0</c:v>
                </c:pt>
                <c:pt idx="35">
                  <c:v>1.5</c:v>
                </c:pt>
                <c:pt idx="36">
                  <c:v>3</c:v>
                </c:pt>
                <c:pt idx="37">
                  <c:v>4.5</c:v>
                </c:pt>
                <c:pt idx="38">
                  <c:v>6</c:v>
                </c:pt>
                <c:pt idx="39">
                  <c:v>0</c:v>
                </c:pt>
                <c:pt idx="40">
                  <c:v>1.5</c:v>
                </c:pt>
                <c:pt idx="41">
                  <c:v>3</c:v>
                </c:pt>
                <c:pt idx="42">
                  <c:v>4.5</c:v>
                </c:pt>
                <c:pt idx="43">
                  <c:v>6</c:v>
                </c:pt>
                <c:pt idx="44">
                  <c:v>3</c:v>
                </c:pt>
                <c:pt idx="45">
                  <c:v>4.5</c:v>
                </c:pt>
                <c:pt idx="46">
                  <c:v>6</c:v>
                </c:pt>
                <c:pt idx="47">
                  <c:v>3</c:v>
                </c:pt>
                <c:pt idx="48">
                  <c:v>4.5</c:v>
                </c:pt>
                <c:pt idx="49">
                  <c:v>6</c:v>
                </c:pt>
                <c:pt idx="50">
                  <c:v>0</c:v>
                </c:pt>
                <c:pt idx="51">
                  <c:v>1.5</c:v>
                </c:pt>
                <c:pt idx="52">
                  <c:v>3</c:v>
                </c:pt>
                <c:pt idx="53">
                  <c:v>4.5</c:v>
                </c:pt>
                <c:pt idx="54">
                  <c:v>6</c:v>
                </c:pt>
                <c:pt idx="55">
                  <c:v>0</c:v>
                </c:pt>
                <c:pt idx="56">
                  <c:v>1.5</c:v>
                </c:pt>
                <c:pt idx="57">
                  <c:v>3</c:v>
                </c:pt>
                <c:pt idx="58">
                  <c:v>0</c:v>
                </c:pt>
              </c:numCache>
            </c:numRef>
          </c:xVal>
          <c:yVal>
            <c:numRef>
              <c:f>Main!$AB$26:$AB$84</c:f>
              <c:numCache>
                <c:formatCode>0%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0.25</c:v>
                </c:pt>
                <c:pt idx="8">
                  <c:v>1</c:v>
                </c:pt>
                <c:pt idx="9">
                  <c:v>1</c:v>
                </c:pt>
                <c:pt idx="10">
                  <c:v>0.75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0.83333333333333337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0.75</c:v>
                </c:pt>
                <c:pt idx="19">
                  <c:v>0</c:v>
                </c:pt>
                <c:pt idx="20">
                  <c:v>0.625</c:v>
                </c:pt>
                <c:pt idx="21">
                  <c:v>0.875</c:v>
                </c:pt>
                <c:pt idx="22">
                  <c:v>0</c:v>
                </c:pt>
                <c:pt idx="23">
                  <c:v>0.125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0.75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0.75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0.625</c:v>
                </c:pt>
                <c:pt idx="57">
                  <c:v>1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D2-4BF4-B20C-A6D916416B2B}"/>
            </c:ext>
          </c:extLst>
        </c:ser>
        <c:ser>
          <c:idx val="2"/>
          <c:order val="2"/>
          <c:tx>
            <c:v>UVA 365nm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rgbClr val="00206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002060"/>
                </a:solidFill>
                <a:prstDash val="dash"/>
              </a:ln>
              <a:effectLst/>
            </c:spPr>
            <c:trendlineType val="linear"/>
            <c:dispRSqr val="0"/>
            <c:dispEq val="0"/>
          </c:trendline>
          <c:xVal>
            <c:numRef>
              <c:f>Main!$M$26:$M$84</c:f>
              <c:numCache>
                <c:formatCode>General</c:formatCode>
                <c:ptCount val="59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1.6</c:v>
                </c:pt>
                <c:pt idx="4">
                  <c:v>2</c:v>
                </c:pt>
                <c:pt idx="5">
                  <c:v>0.8</c:v>
                </c:pt>
                <c:pt idx="6">
                  <c:v>2</c:v>
                </c:pt>
                <c:pt idx="7">
                  <c:v>0.8</c:v>
                </c:pt>
                <c:pt idx="8">
                  <c:v>4</c:v>
                </c:pt>
                <c:pt idx="9">
                  <c:v>2</c:v>
                </c:pt>
                <c:pt idx="10">
                  <c:v>0.8</c:v>
                </c:pt>
                <c:pt idx="11">
                  <c:v>1.5</c:v>
                </c:pt>
                <c:pt idx="12">
                  <c:v>0.6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0.4</c:v>
                </c:pt>
                <c:pt idx="23">
                  <c:v>0.4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xVal>
          <c:yVal>
            <c:numRef>
              <c:f>Main!$AB$26:$AB$84</c:f>
              <c:numCache>
                <c:formatCode>0%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0.25</c:v>
                </c:pt>
                <c:pt idx="8">
                  <c:v>1</c:v>
                </c:pt>
                <c:pt idx="9">
                  <c:v>1</c:v>
                </c:pt>
                <c:pt idx="10">
                  <c:v>0.75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0.83333333333333337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0.75</c:v>
                </c:pt>
                <c:pt idx="19">
                  <c:v>0</c:v>
                </c:pt>
                <c:pt idx="20">
                  <c:v>0.625</c:v>
                </c:pt>
                <c:pt idx="21">
                  <c:v>0.875</c:v>
                </c:pt>
                <c:pt idx="22">
                  <c:v>0</c:v>
                </c:pt>
                <c:pt idx="23">
                  <c:v>0.125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0.75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0.75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0.625</c:v>
                </c:pt>
                <c:pt idx="57">
                  <c:v>1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D2-4BF4-B20C-A6D916416B2B}"/>
            </c:ext>
          </c:extLst>
        </c:ser>
        <c:ser>
          <c:idx val="3"/>
          <c:order val="3"/>
          <c:tx>
            <c:v>UVA 395nm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00B0F0"/>
                </a:solidFill>
                <a:prstDash val="dash"/>
              </a:ln>
              <a:effectLst/>
            </c:spPr>
            <c:trendlineType val="linear"/>
            <c:dispRSqr val="0"/>
            <c:dispEq val="0"/>
          </c:trendline>
          <c:xVal>
            <c:numRef>
              <c:f>Main!$L$26:$L$84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0</c:v>
                </c:pt>
              </c:numCache>
            </c:numRef>
          </c:xVal>
          <c:yVal>
            <c:numRef>
              <c:f>Main!$AB$26:$AB$84</c:f>
              <c:numCache>
                <c:formatCode>0%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0.25</c:v>
                </c:pt>
                <c:pt idx="8">
                  <c:v>1</c:v>
                </c:pt>
                <c:pt idx="9">
                  <c:v>1</c:v>
                </c:pt>
                <c:pt idx="10">
                  <c:v>0.75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0.83333333333333337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0.75</c:v>
                </c:pt>
                <c:pt idx="19">
                  <c:v>0</c:v>
                </c:pt>
                <c:pt idx="20">
                  <c:v>0.625</c:v>
                </c:pt>
                <c:pt idx="21">
                  <c:v>0.875</c:v>
                </c:pt>
                <c:pt idx="22">
                  <c:v>0</c:v>
                </c:pt>
                <c:pt idx="23">
                  <c:v>0.125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0.75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0.75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0.625</c:v>
                </c:pt>
                <c:pt idx="57">
                  <c:v>1</c:v>
                </c:pt>
                <c:pt idx="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D2-4BF4-B20C-A6D916416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63439"/>
        <c:axId val="127063855"/>
      </c:scatterChart>
      <c:valAx>
        <c:axId val="127063439"/>
        <c:scaling>
          <c:orientation val="minMax"/>
          <c:max val="3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3855"/>
        <c:crosses val="autoZero"/>
        <c:crossBetween val="midCat"/>
        <c:majorUnit val="4"/>
      </c:valAx>
      <c:valAx>
        <c:axId val="12706385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34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'Pivot Tables'!$C$100:$C$125</c:f>
              <c:numCache>
                <c:formatCode>0.0</c:formatCode>
                <c:ptCount val="26"/>
                <c:pt idx="0">
                  <c:v>0.8</c:v>
                </c:pt>
                <c:pt idx="1">
                  <c:v>1.6</c:v>
                </c:pt>
                <c:pt idx="2">
                  <c:v>1.9</c:v>
                </c:pt>
                <c:pt idx="3">
                  <c:v>2</c:v>
                </c:pt>
                <c:pt idx="4">
                  <c:v>2.2999999999999998</c:v>
                </c:pt>
                <c:pt idx="5">
                  <c:v>3.4</c:v>
                </c:pt>
                <c:pt idx="6">
                  <c:v>3.5</c:v>
                </c:pt>
                <c:pt idx="7">
                  <c:v>3.8</c:v>
                </c:pt>
                <c:pt idx="8">
                  <c:v>4</c:v>
                </c:pt>
                <c:pt idx="9">
                  <c:v>5</c:v>
                </c:pt>
                <c:pt idx="10">
                  <c:v>5.5</c:v>
                </c:pt>
                <c:pt idx="11">
                  <c:v>6.5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8.5</c:v>
                </c:pt>
                <c:pt idx="16">
                  <c:v>9.5</c:v>
                </c:pt>
                <c:pt idx="17">
                  <c:v>10</c:v>
                </c:pt>
                <c:pt idx="18">
                  <c:v>11</c:v>
                </c:pt>
                <c:pt idx="19">
                  <c:v>12.5</c:v>
                </c:pt>
                <c:pt idx="20">
                  <c:v>14</c:v>
                </c:pt>
                <c:pt idx="21">
                  <c:v>16</c:v>
                </c:pt>
                <c:pt idx="22">
                  <c:v>17.5</c:v>
                </c:pt>
                <c:pt idx="23">
                  <c:v>19</c:v>
                </c:pt>
                <c:pt idx="24">
                  <c:v>20.5</c:v>
                </c:pt>
                <c:pt idx="25">
                  <c:v>22</c:v>
                </c:pt>
              </c:numCache>
            </c:numRef>
          </c:xVal>
          <c:yVal>
            <c:numRef>
              <c:f>'Pivot Tables'!$D$100:$D$125</c:f>
              <c:numCache>
                <c:formatCode>0.0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1.5</c:v>
                </c:pt>
                <c:pt idx="5">
                  <c:v>3</c:v>
                </c:pt>
                <c:pt idx="6">
                  <c:v>1.5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1.5</c:v>
                </c:pt>
                <c:pt idx="11">
                  <c:v>4.5</c:v>
                </c:pt>
                <c:pt idx="12">
                  <c:v>3</c:v>
                </c:pt>
                <c:pt idx="13">
                  <c:v>0</c:v>
                </c:pt>
                <c:pt idx="14">
                  <c:v>6</c:v>
                </c:pt>
                <c:pt idx="15">
                  <c:v>4.5</c:v>
                </c:pt>
                <c:pt idx="16">
                  <c:v>1.5</c:v>
                </c:pt>
                <c:pt idx="17">
                  <c:v>6</c:v>
                </c:pt>
                <c:pt idx="18">
                  <c:v>3</c:v>
                </c:pt>
                <c:pt idx="19">
                  <c:v>4.5</c:v>
                </c:pt>
                <c:pt idx="20">
                  <c:v>6</c:v>
                </c:pt>
                <c:pt idx="21">
                  <c:v>0</c:v>
                </c:pt>
                <c:pt idx="22">
                  <c:v>1.5</c:v>
                </c:pt>
                <c:pt idx="23">
                  <c:v>3</c:v>
                </c:pt>
                <c:pt idx="24">
                  <c:v>4.5</c:v>
                </c:pt>
                <c:pt idx="2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6-46F5-A2F0-324D0362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702304"/>
        <c:axId val="2072703136"/>
      </c:scatterChart>
      <c:valAx>
        <c:axId val="207270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703136"/>
        <c:crosses val="autoZero"/>
        <c:crossBetween val="midCat"/>
      </c:valAx>
      <c:valAx>
        <c:axId val="207270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70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Surface Cure as Function of UVA, 365nm</a:t>
            </a:r>
          </a:p>
          <a:p>
            <a:pPr>
              <a:defRPr b="1"/>
            </a:pPr>
            <a:r>
              <a:rPr lang="en-US" sz="1000" b="0"/>
              <a:t>Each line constant</a:t>
            </a:r>
            <a:r>
              <a:rPr lang="en-US" sz="1000" b="0" baseline="0"/>
              <a:t> </a:t>
            </a:r>
            <a:r>
              <a:rPr lang="en-US" sz="1000" b="0"/>
              <a:t>UVC (275nm</a:t>
            </a:r>
            <a:r>
              <a:rPr lang="en-US" sz="1000" b="0" baseline="0"/>
              <a:t> </a:t>
            </a:r>
            <a:r>
              <a:rPr lang="en-US" sz="1000" b="0"/>
              <a:t>W/cm2)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Summary!$I$6</c:f>
              <c:strCache>
                <c:ptCount val="1"/>
                <c:pt idx="0">
                  <c:v>6.0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Summary!$D$7:$D$12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Summary!$I$7:$I$12</c:f>
              <c:numCache>
                <c:formatCode>0%</c:formatCode>
                <c:ptCount val="6"/>
                <c:pt idx="0">
                  <c:v>0.875</c:v>
                </c:pt>
                <c:pt idx="1">
                  <c:v>0.625</c:v>
                </c:pt>
                <c:pt idx="2">
                  <c:v>0.875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F4-416B-95D1-EBDFFEEB8A8A}"/>
            </c:ext>
          </c:extLst>
        </c:ser>
        <c:ser>
          <c:idx val="3"/>
          <c:order val="1"/>
          <c:tx>
            <c:strRef>
              <c:f>Summary!$H$6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Summary!$D$7:$D$12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Summary!$H$7:$H$12</c:f>
              <c:numCache>
                <c:formatCode>0%</c:formatCode>
                <c:ptCount val="6"/>
                <c:pt idx="0">
                  <c:v>0.875</c:v>
                </c:pt>
                <c:pt idx="1">
                  <c:v>0.75</c:v>
                </c:pt>
                <c:pt idx="2">
                  <c:v>0.75</c:v>
                </c:pt>
                <c:pt idx="3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F4-416B-95D1-EBDFFEEB8A8A}"/>
            </c:ext>
          </c:extLst>
        </c:ser>
        <c:ser>
          <c:idx val="2"/>
          <c:order val="2"/>
          <c:tx>
            <c:strRef>
              <c:f>Summary!$G$6</c:f>
              <c:strCache>
                <c:ptCount val="1"/>
                <c:pt idx="0">
                  <c:v>3.0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Summary!$D$7:$D$12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Summary!$G$7:$G$12</c:f>
              <c:numCache>
                <c:formatCode>0%</c:formatCode>
                <c:ptCount val="6"/>
                <c:pt idx="0">
                  <c:v>0.75</c:v>
                </c:pt>
                <c:pt idx="1">
                  <c:v>0.5</c:v>
                </c:pt>
                <c:pt idx="2">
                  <c:v>0.6875</c:v>
                </c:pt>
                <c:pt idx="3">
                  <c:v>0.70833333333333337</c:v>
                </c:pt>
                <c:pt idx="4">
                  <c:v>0.53125</c:v>
                </c:pt>
                <c:pt idx="5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F4-416B-95D1-EBDFFEEB8A8A}"/>
            </c:ext>
          </c:extLst>
        </c:ser>
        <c:ser>
          <c:idx val="1"/>
          <c:order val="3"/>
          <c:tx>
            <c:strRef>
              <c:f>Summary!$F$6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Summary!$D$7:$D$12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Summary!$F$7:$F$12</c:f>
              <c:numCache>
                <c:formatCode>0%</c:formatCode>
                <c:ptCount val="6"/>
                <c:pt idx="0">
                  <c:v>0.375</c:v>
                </c:pt>
                <c:pt idx="1">
                  <c:v>0.25</c:v>
                </c:pt>
                <c:pt idx="2">
                  <c:v>0.45833333333333337</c:v>
                </c:pt>
                <c:pt idx="3">
                  <c:v>0.4375</c:v>
                </c:pt>
                <c:pt idx="4">
                  <c:v>0.6875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F4-416B-95D1-EBDFFEEB8A8A}"/>
            </c:ext>
          </c:extLst>
        </c:ser>
        <c:ser>
          <c:idx val="0"/>
          <c:order val="4"/>
          <c:tx>
            <c:strRef>
              <c:f>Summary!$E$6</c:f>
              <c:strCache>
                <c:ptCount val="1"/>
                <c:pt idx="0">
                  <c:v>0.0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Summary!$D$7:$D$12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Summary!$E$7:$E$12</c:f>
              <c:numCache>
                <c:formatCode>0%</c:formatCode>
                <c:ptCount val="6"/>
                <c:pt idx="0">
                  <c:v>0.25</c:v>
                </c:pt>
                <c:pt idx="1">
                  <c:v>0.125</c:v>
                </c:pt>
                <c:pt idx="2">
                  <c:v>9.375E-2</c:v>
                </c:pt>
                <c:pt idx="3">
                  <c:v>3.125E-2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4-416B-95D1-EBDFFEEB8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55200"/>
        <c:axId val="440555616"/>
      </c:scatterChart>
      <c:valAx>
        <c:axId val="440555200"/>
        <c:scaling>
          <c:orientation val="minMax"/>
          <c:max val="1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UVA, 365nm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616"/>
        <c:crosses val="autoZero"/>
        <c:crossBetween val="midCat"/>
        <c:majorUnit val="2"/>
      </c:valAx>
      <c:valAx>
        <c:axId val="440555616"/>
        <c:scaling>
          <c:orientation val="minMax"/>
          <c:max val="1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20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Surface Cure as Function of UVA, 395nm</a:t>
            </a:r>
          </a:p>
          <a:p>
            <a:pPr>
              <a:defRPr b="1"/>
            </a:pPr>
            <a:r>
              <a:rPr lang="en-US" sz="900" b="0"/>
              <a:t>Each line constant UVC (275nm</a:t>
            </a:r>
            <a:r>
              <a:rPr lang="en-US" sz="900" b="0" baseline="0"/>
              <a:t> </a:t>
            </a:r>
            <a:r>
              <a:rPr lang="en-US" sz="900" b="0"/>
              <a:t>W/cm2)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Summary!$I$19</c:f>
              <c:strCache>
                <c:ptCount val="1"/>
                <c:pt idx="0">
                  <c:v>6.0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Summary!$D$20:$D$23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Summary!$I$20:$I$23</c:f>
              <c:numCache>
                <c:formatCode>0%</c:formatCode>
                <c:ptCount val="4"/>
                <c:pt idx="0">
                  <c:v>0.75</c:v>
                </c:pt>
                <c:pt idx="1">
                  <c:v>0.625</c:v>
                </c:pt>
                <c:pt idx="2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49-482A-BCF2-5411C9D6D9F9}"/>
            </c:ext>
          </c:extLst>
        </c:ser>
        <c:ser>
          <c:idx val="1"/>
          <c:order val="1"/>
          <c:tx>
            <c:strRef>
              <c:f>Summary!$H$19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Summary!$D$20:$D$23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Summary!$H$20:$H$23</c:f>
              <c:numCache>
                <c:formatCode>0%</c:formatCode>
                <c:ptCount val="4"/>
                <c:pt idx="0">
                  <c:v>0.375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49-482A-BCF2-5411C9D6D9F9}"/>
            </c:ext>
          </c:extLst>
        </c:ser>
        <c:ser>
          <c:idx val="2"/>
          <c:order val="2"/>
          <c:tx>
            <c:strRef>
              <c:f>Summary!$G$19</c:f>
              <c:strCache>
                <c:ptCount val="1"/>
                <c:pt idx="0">
                  <c:v>3.0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Summary!$D$20:$D$23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Summary!$G$20:$G$23</c:f>
              <c:numCache>
                <c:formatCode>0%</c:formatCode>
                <c:ptCount val="4"/>
                <c:pt idx="0">
                  <c:v>0.5</c:v>
                </c:pt>
                <c:pt idx="1">
                  <c:v>0.5</c:v>
                </c:pt>
                <c:pt idx="2">
                  <c:v>0.375</c:v>
                </c:pt>
                <c:pt idx="3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49-482A-BCF2-5411C9D6D9F9}"/>
            </c:ext>
          </c:extLst>
        </c:ser>
        <c:ser>
          <c:idx val="3"/>
          <c:order val="3"/>
          <c:tx>
            <c:strRef>
              <c:f>Summary!$F$19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Summary!$D$20:$D$23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Summary!$F$20:$F$23</c:f>
              <c:numCache>
                <c:formatCode>0%</c:formatCode>
                <c:ptCount val="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49-482A-BCF2-5411C9D6D9F9}"/>
            </c:ext>
          </c:extLst>
        </c:ser>
        <c:ser>
          <c:idx val="4"/>
          <c:order val="4"/>
          <c:tx>
            <c:strRef>
              <c:f>Summary!$E$19</c:f>
              <c:strCache>
                <c:ptCount val="1"/>
                <c:pt idx="0">
                  <c:v>0.0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Summary!$D$20:$D$23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Summary!$E$20:$E$23</c:f>
              <c:numCache>
                <c:formatCode>0%</c:formatCode>
                <c:ptCount val="4"/>
                <c:pt idx="0">
                  <c:v>0.375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49-482A-BCF2-5411C9D6D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55200"/>
        <c:axId val="440555616"/>
      </c:scatterChart>
      <c:valAx>
        <c:axId val="44055520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UVA, 395nm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616"/>
        <c:crosses val="autoZero"/>
        <c:crossBetween val="midCat"/>
        <c:majorUnit val="4"/>
      </c:valAx>
      <c:valAx>
        <c:axId val="440555616"/>
        <c:scaling>
          <c:orientation val="minMax"/>
          <c:max val="1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20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Base Cure as Function of UVA, 365nm</a:t>
            </a:r>
          </a:p>
          <a:p>
            <a:pPr>
              <a:defRPr b="1"/>
            </a:pPr>
            <a:r>
              <a:rPr lang="en-US" sz="900" b="0"/>
              <a:t>Each line constant UVC (275nm W/cm2)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Summary!$S$6</c:f>
              <c:strCache>
                <c:ptCount val="1"/>
                <c:pt idx="0">
                  <c:v>6.0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Summary!$N$7:$N$12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Summary!$S$7:$S$12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F4-4CE3-89FB-1D24634C8AC4}"/>
            </c:ext>
          </c:extLst>
        </c:ser>
        <c:ser>
          <c:idx val="1"/>
          <c:order val="1"/>
          <c:tx>
            <c:strRef>
              <c:f>Summary!$R$6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Summary!$N$7:$N$12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Summary!$R$7:$R$12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F4-4CE3-89FB-1D24634C8AC4}"/>
            </c:ext>
          </c:extLst>
        </c:ser>
        <c:ser>
          <c:idx val="2"/>
          <c:order val="2"/>
          <c:tx>
            <c:strRef>
              <c:f>Summary!$Q$6</c:f>
              <c:strCache>
                <c:ptCount val="1"/>
                <c:pt idx="0">
                  <c:v>3.0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Summary!$N$7:$N$12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Summary!$Q$7:$Q$12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0.91666666666666663</c:v>
                </c:pt>
                <c:pt idx="4">
                  <c:v>0.5625</c:v>
                </c:pt>
                <c:pt idx="5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F4-4CE3-89FB-1D24634C8AC4}"/>
            </c:ext>
          </c:extLst>
        </c:ser>
        <c:ser>
          <c:idx val="3"/>
          <c:order val="3"/>
          <c:tx>
            <c:strRef>
              <c:f>Summary!$P$6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Summary!$N$7:$N$12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Summary!$P$7:$P$12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0.91666666666666674</c:v>
                </c:pt>
                <c:pt idx="3">
                  <c:v>1</c:v>
                </c:pt>
                <c:pt idx="4">
                  <c:v>0.6875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F4-4CE3-89FB-1D24634C8AC4}"/>
            </c:ext>
          </c:extLst>
        </c:ser>
        <c:ser>
          <c:idx val="4"/>
          <c:order val="4"/>
          <c:tx>
            <c:strRef>
              <c:f>Summary!$O$6</c:f>
              <c:strCache>
                <c:ptCount val="1"/>
                <c:pt idx="0">
                  <c:v>0.0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Summary!$N$7:$N$12</c:f>
              <c:numCache>
                <c:formatCode>0</c:formatCode>
                <c:ptCount val="6"/>
                <c:pt idx="0">
                  <c:v>16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 formatCode="0.0">
                  <c:v>0.8</c:v>
                </c:pt>
                <c:pt idx="5" formatCode="0.0">
                  <c:v>0.4</c:v>
                </c:pt>
              </c:numCache>
            </c:numRef>
          </c:xVal>
          <c:yVal>
            <c:numRef>
              <c:f>Summary!$O$7:$O$12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F4-4CE3-89FB-1D24634C8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55200"/>
        <c:axId val="440555616"/>
      </c:scatterChart>
      <c:valAx>
        <c:axId val="440555200"/>
        <c:scaling>
          <c:orientation val="minMax"/>
          <c:max val="1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UVA, 365nm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616"/>
        <c:crosses val="autoZero"/>
        <c:crossBetween val="midCat"/>
        <c:majorUnit val="2"/>
      </c:valAx>
      <c:valAx>
        <c:axId val="440555616"/>
        <c:scaling>
          <c:orientation val="minMax"/>
          <c:max val="1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20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Base Cure as Function of UVA, 395nm</a:t>
            </a:r>
          </a:p>
          <a:p>
            <a:pPr>
              <a:defRPr b="1"/>
            </a:pPr>
            <a:r>
              <a:rPr lang="en-US" sz="900" b="0"/>
              <a:t>Each line constant UVC (275nm</a:t>
            </a:r>
            <a:r>
              <a:rPr lang="en-US" sz="900" b="0" baseline="0"/>
              <a:t> </a:t>
            </a:r>
            <a:r>
              <a:rPr lang="en-US" sz="900" b="0"/>
              <a:t>W/cm2)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Summary!$S$19</c:f>
              <c:strCache>
                <c:ptCount val="1"/>
                <c:pt idx="0">
                  <c:v>6.0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Summary!$N$20:$N$23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Summary!$S$20:$S$23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07-43D9-8C79-FEC47FAD3819}"/>
            </c:ext>
          </c:extLst>
        </c:ser>
        <c:ser>
          <c:idx val="1"/>
          <c:order val="1"/>
          <c:tx>
            <c:strRef>
              <c:f>Summary!$R$19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Summary!$N$20:$N$23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Summary!$R$20:$R$23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07-43D9-8C79-FEC47FAD3819}"/>
            </c:ext>
          </c:extLst>
        </c:ser>
        <c:ser>
          <c:idx val="2"/>
          <c:order val="2"/>
          <c:tx>
            <c:strRef>
              <c:f>Summary!$Q$19</c:f>
              <c:strCache>
                <c:ptCount val="1"/>
                <c:pt idx="0">
                  <c:v>3.0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Summary!$N$20:$N$23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Summary!$Q$20:$Q$23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07-43D9-8C79-FEC47FAD3819}"/>
            </c:ext>
          </c:extLst>
        </c:ser>
        <c:ser>
          <c:idx val="3"/>
          <c:order val="3"/>
          <c:tx>
            <c:strRef>
              <c:f>Summary!$P$19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Summary!$N$20:$N$23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Summary!$P$20:$P$23</c:f>
              <c:numCache>
                <c:formatCode>0%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07-43D9-8C79-FEC47FAD3819}"/>
            </c:ext>
          </c:extLst>
        </c:ser>
        <c:ser>
          <c:idx val="4"/>
          <c:order val="4"/>
          <c:tx>
            <c:strRef>
              <c:f>Summary!$O$19</c:f>
              <c:strCache>
                <c:ptCount val="1"/>
                <c:pt idx="0">
                  <c:v>0.0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Summary!$N$20:$N$23</c:f>
              <c:numCache>
                <c:formatCode>0</c:formatCode>
                <c:ptCount val="4"/>
                <c:pt idx="0">
                  <c:v>32</c:v>
                </c:pt>
                <c:pt idx="1">
                  <c:v>16</c:v>
                </c:pt>
                <c:pt idx="2">
                  <c:v>8</c:v>
                </c:pt>
                <c:pt idx="3">
                  <c:v>4</c:v>
                </c:pt>
              </c:numCache>
            </c:numRef>
          </c:xVal>
          <c:yVal>
            <c:numRef>
              <c:f>Summary!$O$20:$O$23</c:f>
              <c:numCache>
                <c:formatCode>0%</c:formatCode>
                <c:ptCount val="4"/>
                <c:pt idx="0">
                  <c:v>0.75</c:v>
                </c:pt>
                <c:pt idx="1">
                  <c:v>1</c:v>
                </c:pt>
                <c:pt idx="2">
                  <c:v>0.75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07-43D9-8C79-FEC47FAD3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55200"/>
        <c:axId val="440555616"/>
      </c:scatterChart>
      <c:valAx>
        <c:axId val="44055520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UVA, 395nm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616"/>
        <c:crosses val="autoZero"/>
        <c:crossBetween val="midCat"/>
        <c:majorUnit val="4"/>
      </c:valAx>
      <c:valAx>
        <c:axId val="440555616"/>
        <c:scaling>
          <c:orientation val="minMax"/>
          <c:max val="1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20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Surface Cure as Function of UVC, 275nm</a:t>
            </a:r>
          </a:p>
          <a:p>
            <a:pPr>
              <a:defRPr b="1"/>
            </a:pPr>
            <a:r>
              <a:rPr lang="en-US" sz="1000" b="0"/>
              <a:t>Each line constant UVA (365nm</a:t>
            </a:r>
            <a:r>
              <a:rPr lang="en-US" sz="1000" b="0" baseline="0"/>
              <a:t> </a:t>
            </a:r>
            <a:r>
              <a:rPr lang="en-US" sz="1000" b="0"/>
              <a:t>W/cm2)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Summary!$D$7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Summary!$E$7:$I$7</c:f>
              <c:numCache>
                <c:formatCode>0%</c:formatCode>
                <c:ptCount val="5"/>
                <c:pt idx="0">
                  <c:v>0.25</c:v>
                </c:pt>
                <c:pt idx="1">
                  <c:v>0.375</c:v>
                </c:pt>
                <c:pt idx="2">
                  <c:v>0.75</c:v>
                </c:pt>
                <c:pt idx="3">
                  <c:v>0.875</c:v>
                </c:pt>
                <c:pt idx="4">
                  <c:v>0.875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FE-4875-A4DB-4FAE4FA21165}"/>
            </c:ext>
          </c:extLst>
        </c:ser>
        <c:ser>
          <c:idx val="3"/>
          <c:order val="1"/>
          <c:tx>
            <c:strRef>
              <c:f>Summary!$D$8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Summary!$E$8:$I$8</c:f>
              <c:numCache>
                <c:formatCode>0%</c:formatCode>
                <c:ptCount val="5"/>
                <c:pt idx="0">
                  <c:v>0.125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FE-4875-A4DB-4FAE4FA21165}"/>
            </c:ext>
          </c:extLst>
        </c:ser>
        <c:ser>
          <c:idx val="2"/>
          <c:order val="2"/>
          <c:tx>
            <c:strRef>
              <c:f>Summary!$D$9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Summary!$E$9:$I$9</c:f>
              <c:numCache>
                <c:formatCode>0%</c:formatCode>
                <c:ptCount val="5"/>
                <c:pt idx="0">
                  <c:v>9.375E-2</c:v>
                </c:pt>
                <c:pt idx="1">
                  <c:v>0.45833333333333337</c:v>
                </c:pt>
                <c:pt idx="2">
                  <c:v>0.6875</c:v>
                </c:pt>
                <c:pt idx="3">
                  <c:v>0.75</c:v>
                </c:pt>
                <c:pt idx="4">
                  <c:v>0.875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FE-4875-A4DB-4FAE4FA21165}"/>
            </c:ext>
          </c:extLst>
        </c:ser>
        <c:ser>
          <c:idx val="1"/>
          <c:order val="3"/>
          <c:tx>
            <c:strRef>
              <c:f>Summary!$D$10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Summary!$E$10:$I$10</c:f>
              <c:numCache>
                <c:formatCode>0%</c:formatCode>
                <c:ptCount val="5"/>
                <c:pt idx="0">
                  <c:v>3.125E-2</c:v>
                </c:pt>
                <c:pt idx="1">
                  <c:v>0.4375</c:v>
                </c:pt>
                <c:pt idx="2">
                  <c:v>0.70833333333333337</c:v>
                </c:pt>
                <c:pt idx="3">
                  <c:v>0.625</c:v>
                </c:pt>
                <c:pt idx="4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FE-4875-A4DB-4FAE4FA21165}"/>
            </c:ext>
          </c:extLst>
        </c:ser>
        <c:ser>
          <c:idx val="0"/>
          <c:order val="4"/>
          <c:tx>
            <c:strRef>
              <c:f>Summary!$D$11</c:f>
              <c:strCache>
                <c:ptCount val="1"/>
                <c:pt idx="0">
                  <c:v>0.8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Summary!$E$11:$I$11</c:f>
              <c:numCache>
                <c:formatCode>0%</c:formatCode>
                <c:ptCount val="5"/>
                <c:pt idx="0">
                  <c:v>0</c:v>
                </c:pt>
                <c:pt idx="1">
                  <c:v>0.6875</c:v>
                </c:pt>
                <c:pt idx="2">
                  <c:v>0.53125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FE-4875-A4DB-4FAE4FA21165}"/>
            </c:ext>
          </c:extLst>
        </c:ser>
        <c:ser>
          <c:idx val="5"/>
          <c:order val="5"/>
          <c:tx>
            <c:strRef>
              <c:f>Summary!$D$12</c:f>
              <c:strCache>
                <c:ptCount val="1"/>
                <c:pt idx="0">
                  <c:v>0.4</c:v>
                </c:pt>
              </c:strCache>
            </c:strRef>
          </c:tx>
          <c:spPr>
            <a:ln w="19050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Summary!$E$12:$I$12</c:f>
              <c:numCache>
                <c:formatCode>0%</c:formatCode>
                <c:ptCount val="5"/>
                <c:pt idx="1">
                  <c:v>0.25</c:v>
                </c:pt>
                <c:pt idx="2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FE-4875-A4DB-4FAE4FA21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55200"/>
        <c:axId val="440555616"/>
      </c:scatterChart>
      <c:valAx>
        <c:axId val="440555200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UVC, 275nm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616"/>
        <c:crosses val="autoZero"/>
        <c:crossBetween val="midCat"/>
        <c:majorUnit val="1"/>
      </c:valAx>
      <c:valAx>
        <c:axId val="440555616"/>
        <c:scaling>
          <c:orientation val="minMax"/>
          <c:max val="1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20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Surface Cure as Function of </a:t>
            </a:r>
            <a:r>
              <a:rPr lang="en-US" sz="1400" b="1" i="0" u="none" strike="noStrike" baseline="0">
                <a:effectLst/>
              </a:rPr>
              <a:t>UVC, 275nm</a:t>
            </a:r>
          </a:p>
          <a:p>
            <a:pPr>
              <a:defRPr b="1"/>
            </a:pPr>
            <a:r>
              <a:rPr lang="en-US" sz="1000" b="0"/>
              <a:t>Each line constant UVA (395nm</a:t>
            </a:r>
            <a:r>
              <a:rPr lang="en-US" sz="1000" b="0" baseline="0"/>
              <a:t> </a:t>
            </a:r>
            <a:r>
              <a:rPr lang="en-US" sz="1000" b="0"/>
              <a:t>W/cm2)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Summary!$D$20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Summary!$E$19:$I$19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Summary!$E$20:$I$20</c:f>
              <c:numCache>
                <c:formatCode>0%</c:formatCode>
                <c:ptCount val="5"/>
                <c:pt idx="0">
                  <c:v>0.375</c:v>
                </c:pt>
                <c:pt idx="1">
                  <c:v>0.25</c:v>
                </c:pt>
                <c:pt idx="2">
                  <c:v>0.5</c:v>
                </c:pt>
                <c:pt idx="3">
                  <c:v>0.375</c:v>
                </c:pt>
                <c:pt idx="4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6-44D2-B52E-029F37DD0F89}"/>
            </c:ext>
          </c:extLst>
        </c:ser>
        <c:ser>
          <c:idx val="1"/>
          <c:order val="1"/>
          <c:tx>
            <c:strRef>
              <c:f>Summary!$D$21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Summary!$E$19:$I$19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Summary!$E$21:$I$21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0.5</c:v>
                </c:pt>
                <c:pt idx="4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56-44D2-B52E-029F37DD0F89}"/>
            </c:ext>
          </c:extLst>
        </c:ser>
        <c:ser>
          <c:idx val="2"/>
          <c:order val="2"/>
          <c:tx>
            <c:strRef>
              <c:f>Summary!$D$22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Summary!$E$19:$I$19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Summary!$E$22:$I$22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0.375</c:v>
                </c:pt>
                <c:pt idx="3">
                  <c:v>0.5</c:v>
                </c:pt>
                <c:pt idx="4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56-44D2-B52E-029F37DD0F89}"/>
            </c:ext>
          </c:extLst>
        </c:ser>
        <c:ser>
          <c:idx val="3"/>
          <c:order val="3"/>
          <c:tx>
            <c:strRef>
              <c:f>Summary!$D$23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Summary!$E$19:$I$19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Summary!$E$23:$I$23</c:f>
              <c:numCache>
                <c:formatCode>0%</c:formatCode>
                <c:ptCount val="5"/>
                <c:pt idx="0">
                  <c:v>0</c:v>
                </c:pt>
                <c:pt idx="1">
                  <c:v>0.375</c:v>
                </c:pt>
                <c:pt idx="2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56-44D2-B52E-029F37DD0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55200"/>
        <c:axId val="440555616"/>
      </c:scatterChart>
      <c:valAx>
        <c:axId val="440555200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UVC, 275nm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616"/>
        <c:crosses val="autoZero"/>
        <c:crossBetween val="midCat"/>
        <c:majorUnit val="1"/>
      </c:valAx>
      <c:valAx>
        <c:axId val="440555616"/>
        <c:scaling>
          <c:orientation val="minMax"/>
          <c:max val="1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20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Base Cure as Function of </a:t>
            </a:r>
            <a:r>
              <a:rPr lang="en-US" sz="1400" b="1" i="0" u="none" strike="noStrike" baseline="0">
                <a:effectLst/>
              </a:rPr>
              <a:t>UVC, 275nm</a:t>
            </a:r>
          </a:p>
          <a:p>
            <a:pPr>
              <a:defRPr b="1"/>
            </a:pPr>
            <a:r>
              <a:rPr lang="en-US" sz="1000" b="0" baseline="0"/>
              <a:t>Each line constant UVA (365nm W/cm2)</a:t>
            </a:r>
            <a:endParaRPr lang="en-US" sz="10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Summary!$N$7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Summary!$O$7:$S$7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6-4B6F-A095-8030E9F11002}"/>
            </c:ext>
          </c:extLst>
        </c:ser>
        <c:ser>
          <c:idx val="1"/>
          <c:order val="1"/>
          <c:tx>
            <c:strRef>
              <c:f>Summary!$N$8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Summary!$O$8:$S$8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6-4B6F-A095-8030E9F11002}"/>
            </c:ext>
          </c:extLst>
        </c:ser>
        <c:ser>
          <c:idx val="2"/>
          <c:order val="2"/>
          <c:tx>
            <c:strRef>
              <c:f>Summary!$N$9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Summary!$O$9:$S$9</c:f>
              <c:numCache>
                <c:formatCode>0%</c:formatCode>
                <c:ptCount val="5"/>
                <c:pt idx="0">
                  <c:v>1</c:v>
                </c:pt>
                <c:pt idx="1">
                  <c:v>0.91666666666666674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96-4B6F-A095-8030E9F11002}"/>
            </c:ext>
          </c:extLst>
        </c:ser>
        <c:ser>
          <c:idx val="3"/>
          <c:order val="3"/>
          <c:tx>
            <c:strRef>
              <c:f>Summary!$N$10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Summary!$O$10:$S$10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0.91666666666666663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96-4B6F-A095-8030E9F11002}"/>
            </c:ext>
          </c:extLst>
        </c:ser>
        <c:ser>
          <c:idx val="4"/>
          <c:order val="4"/>
          <c:tx>
            <c:strRef>
              <c:f>Summary!$N$11</c:f>
              <c:strCache>
                <c:ptCount val="1"/>
                <c:pt idx="0">
                  <c:v>0.8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Summary!$O$11:$S$11</c:f>
              <c:numCache>
                <c:formatCode>0%</c:formatCode>
                <c:ptCount val="5"/>
                <c:pt idx="0">
                  <c:v>0</c:v>
                </c:pt>
                <c:pt idx="1">
                  <c:v>0.6875</c:v>
                </c:pt>
                <c:pt idx="2">
                  <c:v>0.5625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196-4B6F-A095-8030E9F11002}"/>
            </c:ext>
          </c:extLst>
        </c:ser>
        <c:ser>
          <c:idx val="5"/>
          <c:order val="5"/>
          <c:tx>
            <c:strRef>
              <c:f>Summary!$N$12</c:f>
              <c:strCache>
                <c:ptCount val="1"/>
                <c:pt idx="0">
                  <c:v>0.4</c:v>
                </c:pt>
              </c:strCache>
            </c:strRef>
          </c:tx>
          <c:spPr>
            <a:ln w="19050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Summary!$O$12:$S$12</c:f>
              <c:numCache>
                <c:formatCode>0%</c:formatCode>
                <c:ptCount val="5"/>
                <c:pt idx="1">
                  <c:v>0</c:v>
                </c:pt>
                <c:pt idx="2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196-4B6F-A095-8030E9F11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55200"/>
        <c:axId val="440555616"/>
      </c:scatterChart>
      <c:valAx>
        <c:axId val="440555200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UVC,</a:t>
                </a:r>
                <a:r>
                  <a:rPr lang="en-US" baseline="0"/>
                  <a:t> 27</a:t>
                </a:r>
                <a:r>
                  <a:rPr lang="en-US"/>
                  <a:t>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616"/>
        <c:crosses val="autoZero"/>
        <c:crossBetween val="midCat"/>
        <c:majorUnit val="1"/>
      </c:valAx>
      <c:valAx>
        <c:axId val="440555616"/>
        <c:scaling>
          <c:orientation val="minMax"/>
          <c:max val="1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20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Base Cure as Function of </a:t>
            </a:r>
            <a:r>
              <a:rPr lang="en-US" sz="1400" b="1" i="0" u="none" strike="noStrike" baseline="0">
                <a:effectLst/>
              </a:rPr>
              <a:t>UVC, 275nm</a:t>
            </a:r>
          </a:p>
          <a:p>
            <a:pPr>
              <a:defRPr b="1"/>
            </a:pPr>
            <a:r>
              <a:rPr lang="en-US" sz="1000" b="0"/>
              <a:t>Each line constant UVA (395nm</a:t>
            </a:r>
            <a:r>
              <a:rPr lang="en-US" sz="1000" b="0" baseline="0"/>
              <a:t> </a:t>
            </a:r>
            <a:r>
              <a:rPr lang="en-US" sz="1000" b="0"/>
              <a:t>W/cm2)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Summary!$N$20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Summary!$O$19:$S$19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Summary!$O$20:$S$20</c:f>
              <c:numCache>
                <c:formatCode>0%</c:formatCode>
                <c:ptCount val="5"/>
                <c:pt idx="0">
                  <c:v>0.75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9-4F7E-8F19-03F85EAFFB8C}"/>
            </c:ext>
          </c:extLst>
        </c:ser>
        <c:ser>
          <c:idx val="1"/>
          <c:order val="1"/>
          <c:tx>
            <c:strRef>
              <c:f>Summary!$N$21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Summary!$O$19:$S$19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Summary!$O$21:$S$21</c:f>
              <c:numCache>
                <c:formatCode>0%</c:formatCode>
                <c:ptCount val="5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69-4F7E-8F19-03F85EAFFB8C}"/>
            </c:ext>
          </c:extLst>
        </c:ser>
        <c:ser>
          <c:idx val="2"/>
          <c:order val="2"/>
          <c:tx>
            <c:strRef>
              <c:f>Summary!$N$22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Summary!$O$19:$S$19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Summary!$O$22:$S$22</c:f>
              <c:numCache>
                <c:formatCode>0%</c:formatCode>
                <c:ptCount val="5"/>
                <c:pt idx="0">
                  <c:v>0.75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69-4F7E-8F19-03F85EAFFB8C}"/>
            </c:ext>
          </c:extLst>
        </c:ser>
        <c:ser>
          <c:idx val="3"/>
          <c:order val="3"/>
          <c:tx>
            <c:strRef>
              <c:f>Summary!$N$23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Summary!$O$19:$S$19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xVal>
          <c:yVal>
            <c:numRef>
              <c:f>Summary!$O$23:$S$23</c:f>
              <c:numCache>
                <c:formatCode>0%</c:formatCode>
                <c:ptCount val="5"/>
                <c:pt idx="0">
                  <c:v>0</c:v>
                </c:pt>
                <c:pt idx="1">
                  <c:v>0.625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69-4F7E-8F19-03F85EAFF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555200"/>
        <c:axId val="440555616"/>
      </c:scatterChart>
      <c:valAx>
        <c:axId val="440555200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UVC, 275nm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616"/>
        <c:crosses val="autoZero"/>
        <c:crossBetween val="midCat"/>
        <c:majorUnit val="1"/>
      </c:valAx>
      <c:valAx>
        <c:axId val="440555616"/>
        <c:scaling>
          <c:orientation val="minMax"/>
          <c:max val="1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Pass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55520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Tape Test (Surface Cure), % Pass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0"/>
        <c:ser>
          <c:idx val="0"/>
          <c:order val="0"/>
          <c:tx>
            <c:strRef>
              <c:f>Summary!$D$7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 prstMaterial="flat"/>
          </c:spPr>
          <c:cat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Summary!$E$7:$I$7</c:f>
              <c:numCache>
                <c:formatCode>0%</c:formatCode>
                <c:ptCount val="5"/>
                <c:pt idx="0">
                  <c:v>0.25</c:v>
                </c:pt>
                <c:pt idx="1">
                  <c:v>0.375</c:v>
                </c:pt>
                <c:pt idx="2">
                  <c:v>0.75</c:v>
                </c:pt>
                <c:pt idx="3">
                  <c:v>0.875</c:v>
                </c:pt>
                <c:pt idx="4">
                  <c:v>0.875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C-4358-ADDD-6D70D73E4365}"/>
            </c:ext>
          </c:extLst>
        </c:ser>
        <c:ser>
          <c:idx val="1"/>
          <c:order val="1"/>
          <c:tx>
            <c:strRef>
              <c:f>Summary!$D$8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 prstMaterial="flat"/>
          </c:spPr>
          <c:cat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Summary!$E$8:$I$8</c:f>
              <c:numCache>
                <c:formatCode>0%</c:formatCode>
                <c:ptCount val="5"/>
                <c:pt idx="0">
                  <c:v>0.125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C-4358-ADDD-6D70D73E4365}"/>
            </c:ext>
          </c:extLst>
        </c:ser>
        <c:ser>
          <c:idx val="2"/>
          <c:order val="2"/>
          <c:tx>
            <c:strRef>
              <c:f>Summary!$D$9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 prstMaterial="flat"/>
          </c:spPr>
          <c:cat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Summary!$E$9:$I$9</c:f>
              <c:numCache>
                <c:formatCode>0%</c:formatCode>
                <c:ptCount val="5"/>
                <c:pt idx="0">
                  <c:v>9.375E-2</c:v>
                </c:pt>
                <c:pt idx="1">
                  <c:v>0.45833333333333337</c:v>
                </c:pt>
                <c:pt idx="2">
                  <c:v>0.6875</c:v>
                </c:pt>
                <c:pt idx="3">
                  <c:v>0.75</c:v>
                </c:pt>
                <c:pt idx="4">
                  <c:v>0.875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C-4358-ADDD-6D70D73E4365}"/>
            </c:ext>
          </c:extLst>
        </c:ser>
        <c:ser>
          <c:idx val="3"/>
          <c:order val="3"/>
          <c:tx>
            <c:strRef>
              <c:f>Summary!$D$10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 prstMaterial="flat"/>
          </c:spPr>
          <c:cat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Summary!$E$10:$I$10</c:f>
              <c:numCache>
                <c:formatCode>0%</c:formatCode>
                <c:ptCount val="5"/>
                <c:pt idx="0">
                  <c:v>3.125E-2</c:v>
                </c:pt>
                <c:pt idx="1">
                  <c:v>0.4375</c:v>
                </c:pt>
                <c:pt idx="2">
                  <c:v>0.70833333333333337</c:v>
                </c:pt>
                <c:pt idx="3">
                  <c:v>0.625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C-4358-ADDD-6D70D73E4365}"/>
            </c:ext>
          </c:extLst>
        </c:ser>
        <c:ser>
          <c:idx val="4"/>
          <c:order val="4"/>
          <c:tx>
            <c:strRef>
              <c:f>Summary!$D$11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 prstMaterial="flat"/>
          </c:spPr>
          <c:cat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Summary!$E$11:$I$11</c:f>
              <c:numCache>
                <c:formatCode>0%</c:formatCode>
                <c:ptCount val="5"/>
                <c:pt idx="0">
                  <c:v>0</c:v>
                </c:pt>
                <c:pt idx="1">
                  <c:v>0.6875</c:v>
                </c:pt>
                <c:pt idx="2">
                  <c:v>0.53125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C-4358-ADDD-6D70D73E4365}"/>
            </c:ext>
          </c:extLst>
        </c:ser>
        <c:ser>
          <c:idx val="5"/>
          <c:order val="5"/>
          <c:tx>
            <c:strRef>
              <c:f>Summary!$D$12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 prstMaterial="flat"/>
          </c:spPr>
          <c:cat>
            <c:numRef>
              <c:f>Summary!$E$6:$I$6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Summary!$E$12:$I$12</c:f>
              <c:numCache>
                <c:formatCode>0%</c:formatCode>
                <c:ptCount val="5"/>
                <c:pt idx="1">
                  <c:v>0.25</c:v>
                </c:pt>
                <c:pt idx="2">
                  <c:v>0.3125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C-4358-ADDD-6D70D73E4365}"/>
            </c:ext>
          </c:extLst>
        </c:ser>
        <c:bandFmts>
          <c:bandFmt>
            <c:idx val="0"/>
            <c:spPr>
              <a:solidFill>
                <a:srgbClr val="00B050">
                  <a:alpha val="0"/>
                </a:srgb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rgbClr val="00B050">
                  <a:alpha val="20000"/>
                </a:srgb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rgbClr val="00B050">
                  <a:alpha val="40000"/>
                </a:srgb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rgbClr val="00B050">
                  <a:alpha val="80000"/>
                </a:srgb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rgbClr val="00B050"/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1"/>
              </a:solidFill>
              <a:ln/>
              <a:effectLst/>
              <a:sp3d prstMaterial="flat"/>
            </c:spPr>
          </c:bandFmt>
        </c:bandFmts>
        <c:axId val="1553855056"/>
        <c:axId val="1553853808"/>
        <c:axId val="1724715424"/>
      </c:surfaceChart>
      <c:catAx>
        <c:axId val="155385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UVC 275nm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853808"/>
        <c:crosses val="autoZero"/>
        <c:auto val="1"/>
        <c:lblAlgn val="ctr"/>
        <c:lblOffset val="100"/>
        <c:noMultiLvlLbl val="0"/>
      </c:catAx>
      <c:valAx>
        <c:axId val="155385380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855056"/>
        <c:crossesAt val="1"/>
        <c:crossBetween val="midCat"/>
        <c:majorUnit val="0.2"/>
      </c:valAx>
      <c:serAx>
        <c:axId val="1724715424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UVA 365nm (W/cm2)</a:t>
                </a:r>
              </a:p>
            </c:rich>
          </c:tx>
          <c:layout>
            <c:manualLayout>
              <c:xMode val="edge"/>
              <c:yMode val="edge"/>
              <c:x val="6.5706419523759149E-2"/>
              <c:y val="0.28455239698273177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853808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836438691593828"/>
          <c:y val="0.36505192077706156"/>
          <c:w val="0.14962991565721426"/>
          <c:h val="0.39098533909878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Scratch Test (Base Cure), % Pass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0"/>
        <c:ser>
          <c:idx val="0"/>
          <c:order val="0"/>
          <c:tx>
            <c:strRef>
              <c:f>Summary!$N$7</c:f>
              <c:strCache>
                <c:ptCount val="1"/>
                <c:pt idx="0">
                  <c:v>16</c:v>
                </c:pt>
              </c:strCache>
            </c:strRef>
          </c:tx>
          <c:spPr>
            <a:sp3d prstMaterial="flat"/>
          </c:spPr>
          <c:cat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Summary!$O$7:$S$7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2-4D56-A520-866F971B3552}"/>
            </c:ext>
          </c:extLst>
        </c:ser>
        <c:ser>
          <c:idx val="1"/>
          <c:order val="1"/>
          <c:tx>
            <c:strRef>
              <c:f>Summary!$N$8</c:f>
              <c:strCache>
                <c:ptCount val="1"/>
                <c:pt idx="0">
                  <c:v>8</c:v>
                </c:pt>
              </c:strCache>
            </c:strRef>
          </c:tx>
          <c:spPr>
            <a:sp3d prstMaterial="flat"/>
          </c:spPr>
          <c:cat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Summary!$O$8:$S$8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02-4D56-A520-866F971B3552}"/>
            </c:ext>
          </c:extLst>
        </c:ser>
        <c:ser>
          <c:idx val="2"/>
          <c:order val="2"/>
          <c:tx>
            <c:strRef>
              <c:f>Summary!$N$9</c:f>
              <c:strCache>
                <c:ptCount val="1"/>
                <c:pt idx="0">
                  <c:v>4</c:v>
                </c:pt>
              </c:strCache>
            </c:strRef>
          </c:tx>
          <c:spPr>
            <a:sp3d prstMaterial="flat"/>
          </c:spPr>
          <c:cat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Summary!$O$9:$S$9</c:f>
              <c:numCache>
                <c:formatCode>0%</c:formatCode>
                <c:ptCount val="5"/>
                <c:pt idx="0">
                  <c:v>1</c:v>
                </c:pt>
                <c:pt idx="1">
                  <c:v>0.91666666666666674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02-4D56-A520-866F971B3552}"/>
            </c:ext>
          </c:extLst>
        </c:ser>
        <c:ser>
          <c:idx val="3"/>
          <c:order val="3"/>
          <c:tx>
            <c:strRef>
              <c:f>Summary!$N$10</c:f>
              <c:strCache>
                <c:ptCount val="1"/>
                <c:pt idx="0">
                  <c:v>2</c:v>
                </c:pt>
              </c:strCache>
            </c:strRef>
          </c:tx>
          <c:spPr>
            <a:sp3d prstMaterial="flat"/>
          </c:spPr>
          <c:cat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Summary!$O$10:$S$10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0.91666666666666663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02-4D56-A520-866F971B3552}"/>
            </c:ext>
          </c:extLst>
        </c:ser>
        <c:ser>
          <c:idx val="4"/>
          <c:order val="4"/>
          <c:tx>
            <c:strRef>
              <c:f>Summary!$N$11</c:f>
              <c:strCache>
                <c:ptCount val="1"/>
                <c:pt idx="0">
                  <c:v>0.8</c:v>
                </c:pt>
              </c:strCache>
            </c:strRef>
          </c:tx>
          <c:spPr>
            <a:sp3d prstMaterial="flat"/>
          </c:spPr>
          <c:cat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Summary!$O$11:$S$11</c:f>
              <c:numCache>
                <c:formatCode>0%</c:formatCode>
                <c:ptCount val="5"/>
                <c:pt idx="0">
                  <c:v>0</c:v>
                </c:pt>
                <c:pt idx="1">
                  <c:v>0.6875</c:v>
                </c:pt>
                <c:pt idx="2">
                  <c:v>0.5625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02-4D56-A520-866F971B3552}"/>
            </c:ext>
          </c:extLst>
        </c:ser>
        <c:ser>
          <c:idx val="5"/>
          <c:order val="5"/>
          <c:tx>
            <c:strRef>
              <c:f>Summary!$N$12</c:f>
              <c:strCache>
                <c:ptCount val="1"/>
                <c:pt idx="0">
                  <c:v>0.4</c:v>
                </c:pt>
              </c:strCache>
            </c:strRef>
          </c:tx>
          <c:spPr>
            <a:sp3d prstMaterial="flat"/>
          </c:spPr>
          <c:cat>
            <c:numRef>
              <c:f>Summary!$O$6:$S$6</c:f>
              <c:numCache>
                <c:formatCode>0.0</c:formatCode>
                <c:ptCount val="5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</c:numCache>
            </c:numRef>
          </c:cat>
          <c:val>
            <c:numRef>
              <c:f>Summary!$O$12:$S$12</c:f>
              <c:numCache>
                <c:formatCode>0%</c:formatCode>
                <c:ptCount val="5"/>
                <c:pt idx="1">
                  <c:v>0</c:v>
                </c:pt>
                <c:pt idx="2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02-4D56-A520-866F971B3552}"/>
            </c:ext>
          </c:extLst>
        </c:ser>
        <c:bandFmts>
          <c:bandFmt>
            <c:idx val="0"/>
            <c:spPr>
              <a:solidFill>
                <a:srgbClr val="FFC000">
                  <a:alpha val="0"/>
                </a:srgbClr>
              </a:solidFill>
              <a:sp3d prstMaterial="flat"/>
            </c:spPr>
          </c:bandFmt>
          <c:bandFmt>
            <c:idx val="1"/>
            <c:spPr>
              <a:solidFill>
                <a:srgbClr val="FFC000">
                  <a:alpha val="20000"/>
                </a:srgbClr>
              </a:solidFill>
              <a:sp3d prstMaterial="flat"/>
            </c:spPr>
          </c:bandFmt>
          <c:bandFmt>
            <c:idx val="2"/>
            <c:spPr>
              <a:solidFill>
                <a:srgbClr val="FFC000">
                  <a:alpha val="40000"/>
                </a:srgbClr>
              </a:solidFill>
              <a:sp3d prstMaterial="flat"/>
            </c:spPr>
          </c:bandFmt>
          <c:bandFmt>
            <c:idx val="3"/>
            <c:spPr>
              <a:solidFill>
                <a:srgbClr val="FFC000">
                  <a:alpha val="80000"/>
                </a:srgbClr>
              </a:solidFill>
              <a:sp3d prstMaterial="flat"/>
            </c:spPr>
          </c:bandFmt>
          <c:bandFmt>
            <c:idx val="4"/>
            <c:spPr>
              <a:solidFill>
                <a:srgbClr val="FFC000"/>
              </a:solidFill>
              <a:sp3d prstMaterial="flat"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 prstMaterial="flat"/>
            </c:spPr>
          </c:bandFmt>
        </c:bandFmts>
        <c:axId val="1553855056"/>
        <c:axId val="1553853808"/>
        <c:axId val="1724715424"/>
      </c:surfaceChart>
      <c:catAx>
        <c:axId val="155385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UVC 275nm (W/cm2)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853808"/>
        <c:crosses val="autoZero"/>
        <c:auto val="1"/>
        <c:lblAlgn val="ctr"/>
        <c:lblOffset val="100"/>
        <c:noMultiLvlLbl val="0"/>
      </c:catAx>
      <c:valAx>
        <c:axId val="155385380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855056"/>
        <c:crossesAt val="1"/>
        <c:crossBetween val="midCat"/>
        <c:majorUnit val="0.2001"/>
      </c:valAx>
      <c:serAx>
        <c:axId val="1724715424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UVA 365nm (W/cm2)</a:t>
                </a:r>
              </a:p>
            </c:rich>
          </c:tx>
          <c:layout>
            <c:manualLayout>
              <c:xMode val="edge"/>
              <c:yMode val="edge"/>
              <c:x val="0.14147400457921483"/>
              <c:y val="0.32428321459817522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853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414336</xdr:colOff>
      <xdr:row>33</xdr:row>
      <xdr:rowOff>185737</xdr:rowOff>
    </xdr:from>
    <xdr:to>
      <xdr:col>37</xdr:col>
      <xdr:colOff>414336</xdr:colOff>
      <xdr:row>48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85FE119-926D-4385-AEE6-3DD80B8BC1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381000</xdr:colOff>
      <xdr:row>46</xdr:row>
      <xdr:rowOff>90487</xdr:rowOff>
    </xdr:from>
    <xdr:to>
      <xdr:col>25</xdr:col>
      <xdr:colOff>342900</xdr:colOff>
      <xdr:row>65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14BC13-47EB-4297-95E7-5DE385E39E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285750</xdr:colOff>
      <xdr:row>26</xdr:row>
      <xdr:rowOff>28575</xdr:rowOff>
    </xdr:from>
    <xdr:to>
      <xdr:col>25</xdr:col>
      <xdr:colOff>247650</xdr:colOff>
      <xdr:row>45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BA2A2C-4546-488A-A6E7-08D032DBD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107</xdr:row>
      <xdr:rowOff>90487</xdr:rowOff>
    </xdr:from>
    <xdr:to>
      <xdr:col>13</xdr:col>
      <xdr:colOff>152400</xdr:colOff>
      <xdr:row>121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1FF1DF-30D0-46A9-A271-D339CE80C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58</xdr:row>
      <xdr:rowOff>14288</xdr:rowOff>
    </xdr:from>
    <xdr:to>
      <xdr:col>12</xdr:col>
      <xdr:colOff>93179</xdr:colOff>
      <xdr:row>72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E7A288-17A8-4F04-A38F-A8A41C2452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73</xdr:row>
      <xdr:rowOff>0</xdr:rowOff>
    </xdr:from>
    <xdr:to>
      <xdr:col>12</xdr:col>
      <xdr:colOff>102053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60ABB8-A4AA-4D6F-B026-C30F65434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58</xdr:row>
      <xdr:rowOff>0</xdr:rowOff>
    </xdr:from>
    <xdr:to>
      <xdr:col>23</xdr:col>
      <xdr:colOff>601198</xdr:colOff>
      <xdr:row>71</xdr:row>
      <xdr:rowOff>180975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6F5ECF5-D7F5-4D39-B481-03971FD2E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0</xdr:colOff>
      <xdr:row>72</xdr:row>
      <xdr:rowOff>176893</xdr:rowOff>
    </xdr:from>
    <xdr:to>
      <xdr:col>23</xdr:col>
      <xdr:colOff>594395</xdr:colOff>
      <xdr:row>87</xdr:row>
      <xdr:rowOff>62593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4D3932F-566B-4F3F-814E-DD1F65F38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0</xdr:colOff>
      <xdr:row>27</xdr:row>
      <xdr:rowOff>0</xdr:rowOff>
    </xdr:from>
    <xdr:to>
      <xdr:col>12</xdr:col>
      <xdr:colOff>95900</xdr:colOff>
      <xdr:row>41</xdr:row>
      <xdr:rowOff>85725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6A8F1609-1C35-4A35-B375-89368C562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0</xdr:colOff>
      <xdr:row>42</xdr:row>
      <xdr:rowOff>0</xdr:rowOff>
    </xdr:from>
    <xdr:to>
      <xdr:col>12</xdr:col>
      <xdr:colOff>80933</xdr:colOff>
      <xdr:row>56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F70BD63-247F-4EE8-92B3-B489EECAB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27</xdr:row>
      <xdr:rowOff>0</xdr:rowOff>
    </xdr:from>
    <xdr:to>
      <xdr:col>23</xdr:col>
      <xdr:colOff>601198</xdr:colOff>
      <xdr:row>41</xdr:row>
      <xdr:rowOff>85725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28A3914-73D2-4AC1-86F2-F6BEF4A32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0</xdr:colOff>
      <xdr:row>42</xdr:row>
      <xdr:rowOff>0</xdr:rowOff>
    </xdr:from>
    <xdr:to>
      <xdr:col>23</xdr:col>
      <xdr:colOff>603919</xdr:colOff>
      <xdr:row>56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DA79CC7-F732-46C8-BC1B-8970A7206F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300986</xdr:colOff>
      <xdr:row>1</xdr:row>
      <xdr:rowOff>174003</xdr:rowOff>
    </xdr:from>
    <xdr:to>
      <xdr:col>9</xdr:col>
      <xdr:colOff>331466</xdr:colOff>
      <xdr:row>18</xdr:row>
      <xdr:rowOff>135903</xdr:rowOff>
    </xdr:to>
    <xdr:graphicFrame macro="">
      <xdr:nvGraphicFramePr>
        <xdr:cNvPr id="2" name="Chart 20">
          <a:extLst>
            <a:ext uri="{FF2B5EF4-FFF2-40B4-BE49-F238E27FC236}">
              <a16:creationId xmlns:a16="http://schemas.microsoft.com/office/drawing/2014/main" id="{627A1D40-89CD-4E51-B758-AD831289B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354428</xdr:colOff>
      <xdr:row>3</xdr:row>
      <xdr:rowOff>9876</xdr:rowOff>
    </xdr:from>
    <xdr:to>
      <xdr:col>17</xdr:col>
      <xdr:colOff>384908</xdr:colOff>
      <xdr:row>19</xdr:row>
      <xdr:rowOff>162276</xdr:rowOff>
    </xdr:to>
    <xdr:graphicFrame macro="">
      <xdr:nvGraphicFramePr>
        <xdr:cNvPr id="3" name="Chart 22">
          <a:extLst>
            <a:ext uri="{FF2B5EF4-FFF2-40B4-BE49-F238E27FC236}">
              <a16:creationId xmlns:a16="http://schemas.microsoft.com/office/drawing/2014/main" id="{B5F1CA46-DC52-43F1-B9C6-773490007E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VBC/UVBC%20Testing%20Data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Data Table"/>
      <sheetName val="Theoretical"/>
      <sheetName val="7-30-2020"/>
      <sheetName val="9-9-2020"/>
      <sheetName val="9-24-2020"/>
      <sheetName val="10-7-2020"/>
      <sheetName val="1-20-2021"/>
      <sheetName val="Hg Bulb Replication"/>
      <sheetName val="All PPF"/>
      <sheetName val="All DF"/>
      <sheetName val="Results"/>
      <sheetName val="UVBC Testing Data v3"/>
    </sheetNames>
    <sheetDataSet>
      <sheetData sheetId="0">
        <row r="10">
          <cell r="V10">
            <v>0</v>
          </cell>
        </row>
        <row r="13">
          <cell r="P13">
            <v>2.6059999999999999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hua Walker" refreshedDate="44390.354909837966" createdVersion="7" refreshedVersion="7" minRefreshableVersion="3" recordCount="59" xr:uid="{28C1FD4D-36B2-4165-A5B1-340E1F0870D5}">
  <cacheSource type="worksheet">
    <worksheetSource name="QualData"/>
  </cacheSource>
  <cacheFields count="26">
    <cacheField name="Date" numFmtId="0">
      <sharedItems containsNonDate="0" containsDate="1" containsString="0" containsBlank="1" minDate="2021-07-07T00:00:00" maxDate="2021-07-09T00:00:00"/>
    </cacheField>
    <cacheField name="Test ID" numFmtId="0">
      <sharedItems containsString="0" containsBlank="1" containsNumber="1" containsInteger="1" minValue="1" maxValue="58"/>
    </cacheField>
    <cacheField name="395nm Power Setting (%)" numFmtId="9">
      <sharedItems containsString="0" containsBlank="1" containsNumber="1" minValue="0" maxValue="1" count="5">
        <m/>
        <n v="1"/>
        <n v="0.5"/>
        <n v="0.25"/>
        <n v="0"/>
      </sharedItems>
    </cacheField>
    <cacheField name="365nm Power Setting (%)" numFmtId="9">
      <sharedItems containsString="0" containsBlank="1" containsNumber="1" minValue="0" maxValue="1" count="8">
        <n v="1"/>
        <n v="0.5"/>
        <n v="0.25"/>
        <n v="0.1"/>
        <n v="0.05"/>
        <m/>
        <n v="0.125"/>
        <n v="0"/>
      </sharedItems>
    </cacheField>
    <cacheField name="275nm Power (%)" numFmtId="9">
      <sharedItems containsSemiMixedTypes="0" containsString="0" containsNumber="1" minValue="0" maxValue="1"/>
    </cacheField>
    <cacheField name="395nm Irr. (W/cm2)" numFmtId="165">
      <sharedItems containsSemiMixedTypes="0" containsString="0" containsNumber="1" containsInteger="1" minValue="0" maxValue="16"/>
    </cacheField>
    <cacheField name="365nm Irr. (W/cm2)" numFmtId="165">
      <sharedItems containsSemiMixedTypes="0" containsString="0" containsNumber="1" minValue="0" maxValue="8"/>
    </cacheField>
    <cacheField name="275nm Irr. (W/cm2)" numFmtId="165">
      <sharedItems containsSemiMixedTypes="0" containsString="0" containsNumber="1" minValue="0" maxValue="3"/>
    </cacheField>
    <cacheField name="Conveyor Speed (ft/min)" numFmtId="0">
      <sharedItems containsSemiMixedTypes="0" containsString="0" containsNumber="1" containsInteger="1" minValue="1" maxValue="80" count="4">
        <n v="30"/>
        <n v="60"/>
        <n v="80"/>
        <n v="1"/>
      </sharedItems>
    </cacheField>
    <cacheField name="395nm Normalized Dose" numFmtId="0">
      <sharedItems containsSemiMixedTypes="0" containsString="0" containsNumber="1" containsInteger="1" minValue="0" maxValue="32" count="5">
        <n v="0"/>
        <n v="32"/>
        <n v="16"/>
        <n v="8"/>
        <n v="4"/>
      </sharedItems>
    </cacheField>
    <cacheField name="365nm Normalized Dose" numFmtId="0">
      <sharedItems containsSemiMixedTypes="0" containsString="0" containsNumber="1" minValue="0" maxValue="16" count="10">
        <n v="16"/>
        <n v="8"/>
        <n v="4"/>
        <n v="1.6"/>
        <n v="2"/>
        <n v="0.8"/>
        <n v="1.5"/>
        <n v="0.6"/>
        <n v="0.4"/>
        <n v="0"/>
      </sharedItems>
    </cacheField>
    <cacheField name="275nm Normalized Dose" numFmtId="0">
      <sharedItems containsSemiMixedTypes="0" containsString="0" containsNumber="1" minValue="0" maxValue="6" count="7">
        <n v="0"/>
        <n v="3"/>
        <n v="1.5"/>
        <n v="2.25"/>
        <n v="4.5"/>
        <n v="6"/>
        <n v="2.2999999999999998" u="1"/>
      </sharedItems>
    </cacheField>
    <cacheField name="Total Normalized Dose" numFmtId="0">
      <sharedItems containsSemiMixedTypes="0" containsString="0" containsNumber="1" minValue="0" maxValue="38" count="33">
        <n v="16"/>
        <n v="8"/>
        <n v="4"/>
        <n v="1.6"/>
        <n v="2"/>
        <n v="0.8"/>
        <n v="5"/>
        <n v="3.8"/>
        <n v="5.5"/>
        <n v="3.5"/>
        <n v="2.2999999999999998"/>
        <n v="3.75"/>
        <n v="2.85"/>
        <n v="7"/>
        <n v="1.9"/>
        <n v="3.4"/>
        <n v="17.5"/>
        <n v="19"/>
        <n v="20.5"/>
        <n v="22"/>
        <n v="9.5"/>
        <n v="11"/>
        <n v="12.5"/>
        <n v="14"/>
        <n v="32"/>
        <n v="33.5"/>
        <n v="35"/>
        <n v="36.5"/>
        <n v="38"/>
        <n v="8.5"/>
        <n v="10"/>
        <n v="6.5"/>
        <n v="0"/>
      </sharedItems>
    </cacheField>
    <cacheField name="UVA Wavelength" numFmtId="0">
      <sharedItems count="3">
        <s v="365nm"/>
        <s v="395nm"/>
        <s v=""/>
      </sharedItems>
    </cacheField>
    <cacheField name="Gap (in)" numFmtId="0">
      <sharedItems containsString="0" containsBlank="1" containsNumber="1" minValue="0.375" maxValue="0.375"/>
    </cacheField>
    <cacheField name="Trial 1" numFmtId="0">
      <sharedItems containsString="0" containsBlank="1" containsNumber="1" containsInteger="1" minValue="2" maxValue="115"/>
    </cacheField>
    <cacheField name="Trial 2" numFmtId="0">
      <sharedItems containsString="0" containsBlank="1" containsNumber="1" containsInteger="1" minValue="8" maxValue="116"/>
    </cacheField>
    <cacheField name="Trial 3" numFmtId="0">
      <sharedItems containsString="0" containsBlank="1" containsNumber="1" containsInteger="1" minValue="46" maxValue="46"/>
    </cacheField>
    <cacheField name="Trial 1 Tape Score" numFmtId="0">
      <sharedItems containsString="0" containsBlank="1" containsNumber="1" minValue="0" maxValue="4"/>
    </cacheField>
    <cacheField name="Trial 2 Tape Score" numFmtId="0">
      <sharedItems containsBlank="1" containsMixedTypes="1" containsNumber="1" minValue="0" maxValue="4"/>
    </cacheField>
    <cacheField name="Trial 3 Tape Score" numFmtId="0">
      <sharedItems containsMixedTypes="1" containsNumber="1" containsInteger="1" minValue="2" maxValue="2"/>
    </cacheField>
    <cacheField name="Trial 1 Scratch Score" numFmtId="0">
      <sharedItems containsBlank="1" containsMixedTypes="1" containsNumber="1" containsInteger="1" minValue="0" maxValue="4"/>
    </cacheField>
    <cacheField name="Trial 2 Scratch Score" numFmtId="0">
      <sharedItems containsBlank="1" containsMixedTypes="1" containsNumber="1" containsInteger="1" minValue="0" maxValue="4"/>
    </cacheField>
    <cacheField name="Trial 3 Scratch Score" numFmtId="0">
      <sharedItems containsMixedTypes="1" containsNumber="1" containsInteger="1" minValue="4" maxValue="4"/>
    </cacheField>
    <cacheField name="Tape Overall" numFmtId="9">
      <sharedItems containsMixedTypes="1" containsNumber="1" minValue="0" maxValue="1"/>
    </cacheField>
    <cacheField name="Scratch Overall" numFmtId="9">
      <sharedItems containsMixedTypes="1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d v="2021-07-07T00:00:00"/>
    <n v="1"/>
    <x v="0"/>
    <x v="0"/>
    <n v="0"/>
    <n v="0"/>
    <n v="8"/>
    <n v="0"/>
    <x v="0"/>
    <x v="0"/>
    <x v="0"/>
    <x v="0"/>
    <x v="0"/>
    <x v="0"/>
    <n v="0.375"/>
    <n v="5"/>
    <m/>
    <m/>
    <n v="0"/>
    <s v=""/>
    <s v=""/>
    <n v="4"/>
    <s v=""/>
    <s v=""/>
    <n v="0"/>
    <n v="1"/>
  </r>
  <r>
    <d v="2021-07-07T00:00:00"/>
    <n v="2"/>
    <x v="0"/>
    <x v="1"/>
    <n v="0"/>
    <n v="0"/>
    <n v="4"/>
    <n v="0"/>
    <x v="0"/>
    <x v="0"/>
    <x v="1"/>
    <x v="0"/>
    <x v="1"/>
    <x v="0"/>
    <n v="0.375"/>
    <n v="2"/>
    <m/>
    <m/>
    <n v="0"/>
    <s v=""/>
    <s v=""/>
    <n v="4"/>
    <s v=""/>
    <s v=""/>
    <n v="0"/>
    <n v="1"/>
  </r>
  <r>
    <d v="2021-07-07T00:00:00"/>
    <n v="3"/>
    <x v="0"/>
    <x v="2"/>
    <n v="0"/>
    <n v="0"/>
    <n v="2"/>
    <n v="0"/>
    <x v="0"/>
    <x v="0"/>
    <x v="2"/>
    <x v="0"/>
    <x v="2"/>
    <x v="0"/>
    <n v="0.375"/>
    <n v="3"/>
    <m/>
    <m/>
    <n v="0"/>
    <s v=""/>
    <s v=""/>
    <n v="4"/>
    <s v=""/>
    <s v=""/>
    <n v="0"/>
    <n v="1"/>
  </r>
  <r>
    <d v="2021-07-07T00:00:00"/>
    <n v="4"/>
    <x v="0"/>
    <x v="3"/>
    <n v="0"/>
    <n v="0"/>
    <n v="0.8"/>
    <n v="0"/>
    <x v="0"/>
    <x v="0"/>
    <x v="3"/>
    <x v="0"/>
    <x v="3"/>
    <x v="0"/>
    <n v="0.375"/>
    <n v="4"/>
    <m/>
    <m/>
    <n v="0"/>
    <s v=""/>
    <s v=""/>
    <n v="4"/>
    <s v=""/>
    <s v=""/>
    <n v="0"/>
    <n v="1"/>
  </r>
  <r>
    <d v="2021-07-07T00:00:00"/>
    <n v="5"/>
    <x v="0"/>
    <x v="2"/>
    <n v="0"/>
    <n v="0"/>
    <n v="2"/>
    <n v="0"/>
    <x v="1"/>
    <x v="0"/>
    <x v="4"/>
    <x v="0"/>
    <x v="4"/>
    <x v="0"/>
    <n v="0.375"/>
    <n v="6"/>
    <n v="8"/>
    <m/>
    <n v="0"/>
    <s v=""/>
    <s v=""/>
    <s v=""/>
    <s v=""/>
    <s v=""/>
    <n v="0"/>
    <s v=""/>
  </r>
  <r>
    <d v="2021-07-07T00:00:00"/>
    <n v="6"/>
    <x v="0"/>
    <x v="3"/>
    <n v="0"/>
    <n v="0"/>
    <n v="0.8"/>
    <n v="0"/>
    <x v="1"/>
    <x v="0"/>
    <x v="5"/>
    <x v="0"/>
    <x v="5"/>
    <x v="0"/>
    <n v="0.375"/>
    <n v="7"/>
    <n v="9"/>
    <m/>
    <n v="0"/>
    <s v=""/>
    <s v=""/>
    <s v=""/>
    <s v=""/>
    <s v=""/>
    <n v="0"/>
    <s v=""/>
  </r>
  <r>
    <d v="2021-07-07T00:00:00"/>
    <n v="7"/>
    <x v="0"/>
    <x v="2"/>
    <n v="1"/>
    <n v="0"/>
    <n v="2"/>
    <n v="3"/>
    <x v="1"/>
    <x v="0"/>
    <x v="4"/>
    <x v="1"/>
    <x v="6"/>
    <x v="0"/>
    <n v="0.375"/>
    <n v="10"/>
    <n v="12"/>
    <m/>
    <n v="4"/>
    <s v=""/>
    <s v=""/>
    <n v="4"/>
    <n v="4"/>
    <s v=""/>
    <n v="1"/>
    <n v="1"/>
  </r>
  <r>
    <d v="2021-07-07T00:00:00"/>
    <n v="8"/>
    <x v="0"/>
    <x v="3"/>
    <n v="1"/>
    <n v="0"/>
    <n v="0.8"/>
    <n v="3"/>
    <x v="1"/>
    <x v="0"/>
    <x v="5"/>
    <x v="1"/>
    <x v="7"/>
    <x v="0"/>
    <n v="0.375"/>
    <n v="11"/>
    <n v="13"/>
    <m/>
    <n v="2"/>
    <s v=""/>
    <s v=""/>
    <n v="2"/>
    <n v="0"/>
    <s v=""/>
    <n v="0.5"/>
    <n v="0.25"/>
  </r>
  <r>
    <d v="2021-07-07T00:00:00"/>
    <n v="9"/>
    <x v="0"/>
    <x v="1"/>
    <n v="0.5"/>
    <n v="0"/>
    <n v="4"/>
    <n v="1.5"/>
    <x v="1"/>
    <x v="0"/>
    <x v="2"/>
    <x v="2"/>
    <x v="8"/>
    <x v="0"/>
    <n v="0.375"/>
    <n v="14"/>
    <n v="17"/>
    <m/>
    <n v="2"/>
    <s v=""/>
    <s v=""/>
    <n v="4"/>
    <n v="4"/>
    <s v=""/>
    <n v="0.5"/>
    <n v="1"/>
  </r>
  <r>
    <d v="2021-07-07T00:00:00"/>
    <n v="10"/>
    <x v="0"/>
    <x v="2"/>
    <n v="0.5"/>
    <n v="0"/>
    <n v="2"/>
    <n v="1.5"/>
    <x v="1"/>
    <x v="0"/>
    <x v="4"/>
    <x v="2"/>
    <x v="9"/>
    <x v="0"/>
    <n v="0.375"/>
    <n v="15"/>
    <n v="18"/>
    <m/>
    <n v="2"/>
    <s v=""/>
    <s v=""/>
    <n v="4"/>
    <n v="4"/>
    <s v=""/>
    <n v="0.5"/>
    <n v="1"/>
  </r>
  <r>
    <d v="2021-07-07T00:00:00"/>
    <n v="11"/>
    <x v="0"/>
    <x v="3"/>
    <n v="0.5"/>
    <n v="0"/>
    <n v="0.8"/>
    <n v="1.5"/>
    <x v="1"/>
    <x v="0"/>
    <x v="5"/>
    <x v="2"/>
    <x v="10"/>
    <x v="0"/>
    <n v="0.375"/>
    <n v="16"/>
    <n v="19"/>
    <m/>
    <n v="4"/>
    <s v=""/>
    <s v=""/>
    <n v="4"/>
    <n v="2"/>
    <s v=""/>
    <n v="1"/>
    <n v="0.75"/>
  </r>
  <r>
    <d v="2021-07-07T00:00:00"/>
    <n v="12"/>
    <x v="0"/>
    <x v="2"/>
    <n v="1"/>
    <n v="0"/>
    <n v="2"/>
    <n v="3"/>
    <x v="2"/>
    <x v="0"/>
    <x v="6"/>
    <x v="3"/>
    <x v="11"/>
    <x v="0"/>
    <n v="0.375"/>
    <n v="20"/>
    <n v="22"/>
    <m/>
    <n v="0"/>
    <s v=""/>
    <s v=""/>
    <n v="4"/>
    <n v="4"/>
    <s v=""/>
    <n v="0"/>
    <n v="1"/>
  </r>
  <r>
    <d v="2021-07-07T00:00:00"/>
    <n v="13"/>
    <x v="0"/>
    <x v="3"/>
    <n v="1"/>
    <n v="0"/>
    <n v="0.8"/>
    <n v="3"/>
    <x v="2"/>
    <x v="0"/>
    <x v="7"/>
    <x v="3"/>
    <x v="12"/>
    <x v="0"/>
    <n v="0.375"/>
    <n v="21"/>
    <n v="23"/>
    <m/>
    <n v="0"/>
    <s v=""/>
    <s v=""/>
    <n v="0"/>
    <n v="0"/>
    <s v=""/>
    <n v="0"/>
    <n v="0"/>
  </r>
  <r>
    <d v="2021-07-08T00:00:00"/>
    <n v="14"/>
    <x v="0"/>
    <x v="1"/>
    <n v="0"/>
    <n v="0"/>
    <n v="4"/>
    <n v="0"/>
    <x v="1"/>
    <x v="0"/>
    <x v="2"/>
    <x v="0"/>
    <x v="2"/>
    <x v="0"/>
    <n v="0.375"/>
    <n v="24"/>
    <n v="35"/>
    <m/>
    <n v="1"/>
    <n v="0.5"/>
    <s v=""/>
    <n v="4"/>
    <n v="4"/>
    <s v=""/>
    <n v="0.1875"/>
    <n v="1"/>
  </r>
  <r>
    <d v="2021-07-08T00:00:00"/>
    <n v="15"/>
    <x v="0"/>
    <x v="1"/>
    <n v="0.5"/>
    <n v="0"/>
    <n v="4"/>
    <n v="1.5"/>
    <x v="1"/>
    <x v="0"/>
    <x v="2"/>
    <x v="2"/>
    <x v="8"/>
    <x v="0"/>
    <n v="0.375"/>
    <n v="25"/>
    <n v="36"/>
    <n v="46"/>
    <n v="1"/>
    <n v="2"/>
    <n v="2"/>
    <n v="2"/>
    <n v="4"/>
    <n v="4"/>
    <n v="0.41666666666666669"/>
    <n v="0.83333333333333337"/>
  </r>
  <r>
    <d v="2021-07-08T00:00:00"/>
    <n v="16"/>
    <x v="0"/>
    <x v="1"/>
    <n v="1"/>
    <n v="0"/>
    <n v="4"/>
    <n v="3"/>
    <x v="1"/>
    <x v="0"/>
    <x v="2"/>
    <x v="1"/>
    <x v="13"/>
    <x v="0"/>
    <n v="0.375"/>
    <n v="26"/>
    <n v="37"/>
    <m/>
    <n v="3"/>
    <n v="3"/>
    <s v=""/>
    <n v="4"/>
    <n v="4"/>
    <s v=""/>
    <n v="0.75"/>
    <n v="1"/>
  </r>
  <r>
    <d v="2021-07-08T00:00:00"/>
    <n v="17"/>
    <x v="0"/>
    <x v="2"/>
    <n v="0"/>
    <n v="0"/>
    <n v="2"/>
    <n v="0"/>
    <x v="1"/>
    <x v="0"/>
    <x v="4"/>
    <x v="0"/>
    <x v="4"/>
    <x v="0"/>
    <n v="0.375"/>
    <n v="27"/>
    <n v="38"/>
    <m/>
    <n v="0"/>
    <n v="0.5"/>
    <s v=""/>
    <n v="4"/>
    <n v="4"/>
    <s v=""/>
    <n v="6.25E-2"/>
    <n v="1"/>
  </r>
  <r>
    <d v="2021-07-08T00:00:00"/>
    <n v="18"/>
    <x v="0"/>
    <x v="2"/>
    <n v="0.5"/>
    <n v="0"/>
    <n v="2"/>
    <n v="1.5"/>
    <x v="1"/>
    <x v="0"/>
    <x v="4"/>
    <x v="2"/>
    <x v="9"/>
    <x v="0"/>
    <n v="0.375"/>
    <n v="28"/>
    <n v="39"/>
    <m/>
    <n v="1.5"/>
    <n v="1.5"/>
    <s v=""/>
    <n v="4"/>
    <n v="4"/>
    <s v=""/>
    <n v="0.375"/>
    <n v="1"/>
  </r>
  <r>
    <d v="2021-07-08T00:00:00"/>
    <n v="19"/>
    <x v="0"/>
    <x v="2"/>
    <n v="1"/>
    <n v="0"/>
    <n v="2"/>
    <n v="3"/>
    <x v="1"/>
    <x v="0"/>
    <x v="4"/>
    <x v="1"/>
    <x v="6"/>
    <x v="0"/>
    <n v="0.375"/>
    <n v="29"/>
    <n v="40"/>
    <m/>
    <n v="3"/>
    <n v="3"/>
    <s v=""/>
    <n v="3"/>
    <n v="3"/>
    <s v=""/>
    <n v="0.75"/>
    <n v="0.75"/>
  </r>
  <r>
    <d v="2021-07-08T00:00:00"/>
    <n v="20"/>
    <x v="0"/>
    <x v="3"/>
    <n v="0"/>
    <n v="0"/>
    <n v="0.8"/>
    <n v="0"/>
    <x v="1"/>
    <x v="0"/>
    <x v="5"/>
    <x v="0"/>
    <x v="5"/>
    <x v="0"/>
    <n v="0.375"/>
    <n v="30"/>
    <n v="41"/>
    <m/>
    <n v="0"/>
    <n v="0"/>
    <s v=""/>
    <n v="0"/>
    <n v="0"/>
    <s v=""/>
    <n v="0"/>
    <n v="0"/>
  </r>
  <r>
    <d v="2021-07-08T00:00:00"/>
    <n v="21"/>
    <x v="0"/>
    <x v="3"/>
    <n v="0.5"/>
    <n v="0"/>
    <n v="0.8"/>
    <n v="1.5"/>
    <x v="1"/>
    <x v="0"/>
    <x v="5"/>
    <x v="2"/>
    <x v="10"/>
    <x v="0"/>
    <n v="0.375"/>
    <n v="31"/>
    <n v="42"/>
    <m/>
    <n v="1"/>
    <n v="2"/>
    <s v=""/>
    <n v="1"/>
    <n v="4"/>
    <s v=""/>
    <n v="0.375"/>
    <n v="0.625"/>
  </r>
  <r>
    <d v="2021-07-08T00:00:00"/>
    <n v="22"/>
    <x v="0"/>
    <x v="3"/>
    <n v="1"/>
    <n v="0"/>
    <n v="0.8"/>
    <n v="3"/>
    <x v="1"/>
    <x v="0"/>
    <x v="5"/>
    <x v="1"/>
    <x v="7"/>
    <x v="0"/>
    <n v="0.375"/>
    <n v="32"/>
    <n v="43"/>
    <m/>
    <n v="2"/>
    <n v="2.5"/>
    <s v=""/>
    <n v="3"/>
    <n v="4"/>
    <s v=""/>
    <n v="0.5625"/>
    <n v="0.875"/>
  </r>
  <r>
    <d v="2021-07-08T00:00:00"/>
    <n v="23"/>
    <x v="0"/>
    <x v="4"/>
    <n v="0.5"/>
    <n v="0"/>
    <n v="0.4"/>
    <n v="1.5"/>
    <x v="1"/>
    <x v="0"/>
    <x v="8"/>
    <x v="2"/>
    <x v="14"/>
    <x v="0"/>
    <n v="0.375"/>
    <n v="33"/>
    <n v="44"/>
    <m/>
    <n v="1"/>
    <n v="1"/>
    <s v=""/>
    <n v="0"/>
    <n v="0"/>
    <s v=""/>
    <n v="0.25"/>
    <n v="0"/>
  </r>
  <r>
    <d v="2021-07-08T00:00:00"/>
    <n v="24"/>
    <x v="0"/>
    <x v="4"/>
    <n v="1"/>
    <n v="0"/>
    <n v="0.4"/>
    <n v="3"/>
    <x v="1"/>
    <x v="0"/>
    <x v="8"/>
    <x v="1"/>
    <x v="15"/>
    <x v="0"/>
    <n v="0.375"/>
    <n v="34"/>
    <n v="45"/>
    <m/>
    <n v="1.5"/>
    <n v="1"/>
    <s v=""/>
    <n v="0"/>
    <n v="1"/>
    <s v=""/>
    <n v="0.3125"/>
    <n v="0.125"/>
  </r>
  <r>
    <d v="2021-07-08T00:00:00"/>
    <n v="25"/>
    <x v="0"/>
    <x v="0"/>
    <n v="0"/>
    <n v="0"/>
    <n v="8"/>
    <n v="0"/>
    <x v="0"/>
    <x v="0"/>
    <x v="0"/>
    <x v="0"/>
    <x v="0"/>
    <x v="0"/>
    <n v="0.375"/>
    <n v="47"/>
    <n v="57"/>
    <m/>
    <n v="2"/>
    <n v="2"/>
    <s v=""/>
    <n v="4"/>
    <n v="4"/>
    <s v=""/>
    <n v="0.5"/>
    <n v="1"/>
  </r>
  <r>
    <d v="2021-07-08T00:00:00"/>
    <n v="26"/>
    <x v="0"/>
    <x v="0"/>
    <n v="0.25"/>
    <n v="0"/>
    <n v="8"/>
    <n v="0.75"/>
    <x v="0"/>
    <x v="0"/>
    <x v="0"/>
    <x v="2"/>
    <x v="16"/>
    <x v="0"/>
    <n v="0.375"/>
    <n v="48"/>
    <n v="58"/>
    <m/>
    <n v="1"/>
    <n v="2"/>
    <s v=""/>
    <n v="4"/>
    <n v="4"/>
    <s v=""/>
    <n v="0.375"/>
    <n v="1"/>
  </r>
  <r>
    <d v="2021-07-08T00:00:00"/>
    <n v="27"/>
    <x v="0"/>
    <x v="0"/>
    <n v="0.5"/>
    <n v="0"/>
    <n v="8"/>
    <n v="1.5"/>
    <x v="0"/>
    <x v="0"/>
    <x v="0"/>
    <x v="1"/>
    <x v="17"/>
    <x v="0"/>
    <n v="0.375"/>
    <n v="49"/>
    <n v="59"/>
    <m/>
    <n v="3"/>
    <n v="3"/>
    <s v=""/>
    <n v="4"/>
    <n v="4"/>
    <s v=""/>
    <n v="0.75"/>
    <n v="1"/>
  </r>
  <r>
    <d v="2021-07-08T00:00:00"/>
    <n v="28"/>
    <x v="0"/>
    <x v="0"/>
    <n v="0.75"/>
    <n v="0"/>
    <n v="8"/>
    <n v="2.25"/>
    <x v="0"/>
    <x v="0"/>
    <x v="0"/>
    <x v="4"/>
    <x v="18"/>
    <x v="0"/>
    <n v="0.375"/>
    <n v="50"/>
    <n v="60"/>
    <m/>
    <n v="4"/>
    <n v="3"/>
    <s v=""/>
    <n v="4"/>
    <n v="4"/>
    <s v=""/>
    <n v="0.875"/>
    <n v="1"/>
  </r>
  <r>
    <d v="2021-07-08T00:00:00"/>
    <n v="29"/>
    <x v="0"/>
    <x v="0"/>
    <n v="1"/>
    <n v="0"/>
    <n v="8"/>
    <n v="3"/>
    <x v="0"/>
    <x v="0"/>
    <x v="0"/>
    <x v="5"/>
    <x v="19"/>
    <x v="0"/>
    <n v="0.375"/>
    <n v="51"/>
    <n v="61"/>
    <m/>
    <n v="3"/>
    <n v="4"/>
    <s v=""/>
    <n v="4"/>
    <n v="4"/>
    <s v=""/>
    <n v="0.875"/>
    <n v="1"/>
  </r>
  <r>
    <d v="2021-07-08T00:00:00"/>
    <n v="30"/>
    <x v="0"/>
    <x v="1"/>
    <n v="0"/>
    <n v="0"/>
    <n v="4"/>
    <n v="0"/>
    <x v="0"/>
    <x v="0"/>
    <x v="1"/>
    <x v="0"/>
    <x v="1"/>
    <x v="0"/>
    <n v="0.375"/>
    <n v="52"/>
    <n v="62"/>
    <m/>
    <n v="1"/>
    <n v="1"/>
    <s v=""/>
    <n v="4"/>
    <n v="4"/>
    <s v=""/>
    <n v="0.25"/>
    <n v="1"/>
  </r>
  <r>
    <d v="2021-07-08T00:00:00"/>
    <n v="31"/>
    <x v="0"/>
    <x v="1"/>
    <n v="0.25"/>
    <n v="0"/>
    <n v="4"/>
    <n v="0.75"/>
    <x v="0"/>
    <x v="0"/>
    <x v="1"/>
    <x v="2"/>
    <x v="20"/>
    <x v="0"/>
    <n v="0.375"/>
    <n v="53"/>
    <n v="63"/>
    <m/>
    <n v="1"/>
    <n v="1"/>
    <s v=""/>
    <n v="4"/>
    <n v="4"/>
    <s v=""/>
    <n v="0.25"/>
    <n v="1"/>
  </r>
  <r>
    <d v="2021-07-08T00:00:00"/>
    <n v="32"/>
    <x v="0"/>
    <x v="1"/>
    <n v="0.5"/>
    <n v="0"/>
    <n v="4"/>
    <n v="1.5"/>
    <x v="0"/>
    <x v="0"/>
    <x v="1"/>
    <x v="1"/>
    <x v="21"/>
    <x v="0"/>
    <n v="0.375"/>
    <n v="54"/>
    <n v="64"/>
    <m/>
    <n v="2"/>
    <n v="2"/>
    <s v=""/>
    <n v="4"/>
    <n v="4"/>
    <s v=""/>
    <n v="0.5"/>
    <n v="1"/>
  </r>
  <r>
    <d v="2021-07-08T00:00:00"/>
    <n v="33"/>
    <x v="0"/>
    <x v="1"/>
    <n v="0.75"/>
    <n v="0"/>
    <n v="4"/>
    <n v="2.25"/>
    <x v="0"/>
    <x v="0"/>
    <x v="1"/>
    <x v="4"/>
    <x v="22"/>
    <x v="0"/>
    <n v="0.375"/>
    <n v="55"/>
    <n v="65"/>
    <m/>
    <n v="3"/>
    <n v="3"/>
    <s v=""/>
    <n v="4"/>
    <n v="4"/>
    <s v=""/>
    <n v="0.75"/>
    <n v="1"/>
  </r>
  <r>
    <d v="2021-07-08T00:00:00"/>
    <n v="34"/>
    <x v="0"/>
    <x v="1"/>
    <n v="1"/>
    <n v="0"/>
    <n v="4"/>
    <n v="3"/>
    <x v="0"/>
    <x v="0"/>
    <x v="1"/>
    <x v="5"/>
    <x v="23"/>
    <x v="0"/>
    <n v="0.375"/>
    <n v="56"/>
    <n v="66"/>
    <m/>
    <n v="2"/>
    <n v="3"/>
    <s v=""/>
    <n v="4"/>
    <n v="4"/>
    <s v=""/>
    <n v="0.625"/>
    <n v="1"/>
  </r>
  <r>
    <d v="2021-07-08T00:00:00"/>
    <n v="35"/>
    <x v="1"/>
    <x v="5"/>
    <n v="0"/>
    <n v="16"/>
    <n v="0"/>
    <n v="0"/>
    <x v="0"/>
    <x v="1"/>
    <x v="9"/>
    <x v="0"/>
    <x v="24"/>
    <x v="1"/>
    <n v="0.375"/>
    <n v="67"/>
    <n v="77"/>
    <m/>
    <n v="3"/>
    <n v="0"/>
    <s v=""/>
    <n v="4"/>
    <n v="2"/>
    <s v=""/>
    <n v="0.375"/>
    <n v="0.75"/>
  </r>
  <r>
    <d v="2021-07-08T00:00:00"/>
    <n v="36"/>
    <x v="1"/>
    <x v="5"/>
    <n v="0.25"/>
    <n v="16"/>
    <n v="0"/>
    <n v="0.75"/>
    <x v="0"/>
    <x v="1"/>
    <x v="9"/>
    <x v="2"/>
    <x v="25"/>
    <x v="1"/>
    <n v="0.375"/>
    <n v="68"/>
    <n v="78"/>
    <m/>
    <n v="1"/>
    <n v="1"/>
    <s v=""/>
    <n v="4"/>
    <n v="4"/>
    <s v=""/>
    <n v="0.25"/>
    <n v="1"/>
  </r>
  <r>
    <d v="2021-07-08T00:00:00"/>
    <n v="37"/>
    <x v="1"/>
    <x v="5"/>
    <n v="0.5"/>
    <n v="16"/>
    <n v="0"/>
    <n v="1.5"/>
    <x v="0"/>
    <x v="1"/>
    <x v="9"/>
    <x v="1"/>
    <x v="26"/>
    <x v="1"/>
    <n v="0.375"/>
    <n v="69"/>
    <n v="79"/>
    <m/>
    <n v="2"/>
    <n v="2"/>
    <s v=""/>
    <n v="4"/>
    <n v="4"/>
    <s v=""/>
    <n v="0.5"/>
    <n v="1"/>
  </r>
  <r>
    <d v="2021-07-08T00:00:00"/>
    <n v="38"/>
    <x v="1"/>
    <x v="5"/>
    <n v="0.75"/>
    <n v="16"/>
    <n v="0"/>
    <n v="2.25"/>
    <x v="0"/>
    <x v="1"/>
    <x v="9"/>
    <x v="4"/>
    <x v="27"/>
    <x v="1"/>
    <n v="0.375"/>
    <n v="70"/>
    <n v="80"/>
    <m/>
    <n v="2"/>
    <n v="1"/>
    <s v=""/>
    <n v="4"/>
    <n v="4"/>
    <s v=""/>
    <n v="0.375"/>
    <n v="1"/>
  </r>
  <r>
    <d v="2021-07-08T00:00:00"/>
    <n v="39"/>
    <x v="1"/>
    <x v="5"/>
    <n v="1"/>
    <n v="16"/>
    <n v="0"/>
    <n v="3"/>
    <x v="0"/>
    <x v="1"/>
    <x v="9"/>
    <x v="5"/>
    <x v="28"/>
    <x v="1"/>
    <n v="0.375"/>
    <n v="71"/>
    <n v="81"/>
    <m/>
    <n v="3"/>
    <n v="3"/>
    <s v=""/>
    <n v="4"/>
    <n v="4"/>
    <s v=""/>
    <n v="0.75"/>
    <n v="1"/>
  </r>
  <r>
    <d v="2021-07-08T00:00:00"/>
    <n v="40"/>
    <x v="2"/>
    <x v="5"/>
    <n v="0"/>
    <n v="8"/>
    <n v="0"/>
    <n v="0"/>
    <x v="0"/>
    <x v="2"/>
    <x v="9"/>
    <x v="0"/>
    <x v="0"/>
    <x v="1"/>
    <n v="0.375"/>
    <n v="72"/>
    <n v="82"/>
    <m/>
    <n v="0"/>
    <n v="0"/>
    <s v=""/>
    <n v="4"/>
    <n v="4"/>
    <s v=""/>
    <n v="0"/>
    <n v="1"/>
  </r>
  <r>
    <d v="2021-07-08T00:00:00"/>
    <n v="41"/>
    <x v="2"/>
    <x v="5"/>
    <n v="0.25"/>
    <n v="8"/>
    <n v="0"/>
    <n v="0.75"/>
    <x v="0"/>
    <x v="2"/>
    <x v="9"/>
    <x v="2"/>
    <x v="16"/>
    <x v="1"/>
    <n v="0.375"/>
    <n v="73"/>
    <n v="83"/>
    <m/>
    <n v="1"/>
    <n v="1"/>
    <s v=""/>
    <n v="2"/>
    <n v="4"/>
    <s v=""/>
    <n v="0.25"/>
    <n v="0.75"/>
  </r>
  <r>
    <d v="2021-07-08T00:00:00"/>
    <n v="42"/>
    <x v="2"/>
    <x v="5"/>
    <n v="0.5"/>
    <n v="8"/>
    <n v="0"/>
    <n v="1.5"/>
    <x v="0"/>
    <x v="2"/>
    <x v="9"/>
    <x v="1"/>
    <x v="17"/>
    <x v="1"/>
    <n v="0.375"/>
    <n v="74"/>
    <n v="84"/>
    <m/>
    <n v="2"/>
    <n v="2"/>
    <s v=""/>
    <n v="4"/>
    <n v="4"/>
    <s v=""/>
    <n v="0.5"/>
    <n v="1"/>
  </r>
  <r>
    <d v="2021-07-08T00:00:00"/>
    <n v="43"/>
    <x v="2"/>
    <x v="5"/>
    <n v="0.75"/>
    <n v="8"/>
    <n v="0"/>
    <n v="2.25"/>
    <x v="0"/>
    <x v="2"/>
    <x v="9"/>
    <x v="4"/>
    <x v="18"/>
    <x v="1"/>
    <n v="0.375"/>
    <n v="75"/>
    <n v="85"/>
    <m/>
    <n v="2"/>
    <n v="2"/>
    <s v=""/>
    <n v="4"/>
    <n v="4"/>
    <s v=""/>
    <n v="0.5"/>
    <n v="1"/>
  </r>
  <r>
    <d v="2021-07-08T00:00:00"/>
    <n v="44"/>
    <x v="2"/>
    <x v="5"/>
    <n v="1"/>
    <n v="8"/>
    <n v="0"/>
    <n v="3"/>
    <x v="0"/>
    <x v="2"/>
    <x v="9"/>
    <x v="5"/>
    <x v="19"/>
    <x v="1"/>
    <n v="0.375"/>
    <n v="76"/>
    <n v="86"/>
    <m/>
    <n v="3"/>
    <n v="2"/>
    <s v=""/>
    <n v="4"/>
    <n v="4"/>
    <s v=""/>
    <n v="0.625"/>
    <n v="1"/>
  </r>
  <r>
    <d v="2021-07-08T00:00:00"/>
    <n v="45"/>
    <x v="0"/>
    <x v="2"/>
    <n v="0.5"/>
    <n v="0"/>
    <n v="2"/>
    <n v="1.5"/>
    <x v="0"/>
    <x v="0"/>
    <x v="2"/>
    <x v="1"/>
    <x v="13"/>
    <x v="0"/>
    <n v="0.375"/>
    <n v="87"/>
    <n v="101"/>
    <m/>
    <n v="3"/>
    <n v="2"/>
    <s v=""/>
    <n v="4"/>
    <n v="4"/>
    <s v=""/>
    <n v="0.625"/>
    <n v="1"/>
  </r>
  <r>
    <d v="2021-07-08T00:00:00"/>
    <n v="46"/>
    <x v="0"/>
    <x v="2"/>
    <n v="0.75"/>
    <n v="0"/>
    <n v="2"/>
    <n v="2.25"/>
    <x v="0"/>
    <x v="0"/>
    <x v="2"/>
    <x v="4"/>
    <x v="29"/>
    <x v="0"/>
    <n v="0.375"/>
    <n v="88"/>
    <n v="102"/>
    <m/>
    <n v="3"/>
    <n v="3"/>
    <s v=""/>
    <n v="4"/>
    <n v="4"/>
    <s v=""/>
    <n v="0.75"/>
    <n v="1"/>
  </r>
  <r>
    <d v="2021-07-08T00:00:00"/>
    <n v="47"/>
    <x v="0"/>
    <x v="2"/>
    <n v="1"/>
    <n v="0"/>
    <n v="2"/>
    <n v="3"/>
    <x v="0"/>
    <x v="0"/>
    <x v="2"/>
    <x v="5"/>
    <x v="30"/>
    <x v="0"/>
    <n v="0.375"/>
    <n v="89"/>
    <n v="103"/>
    <m/>
    <n v="4"/>
    <n v="3"/>
    <s v=""/>
    <n v="4"/>
    <n v="4"/>
    <s v=""/>
    <n v="0.875"/>
    <n v="1"/>
  </r>
  <r>
    <d v="2021-07-08T00:00:00"/>
    <n v="48"/>
    <x v="0"/>
    <x v="6"/>
    <n v="0.5"/>
    <n v="0"/>
    <n v="1"/>
    <n v="1.5"/>
    <x v="0"/>
    <x v="0"/>
    <x v="4"/>
    <x v="1"/>
    <x v="6"/>
    <x v="0"/>
    <n v="0.375"/>
    <n v="91"/>
    <n v="105"/>
    <m/>
    <n v="1"/>
    <n v="2"/>
    <s v=""/>
    <n v="4"/>
    <n v="4"/>
    <s v=""/>
    <n v="0.375"/>
    <n v="1"/>
  </r>
  <r>
    <d v="2021-07-08T00:00:00"/>
    <n v="49"/>
    <x v="0"/>
    <x v="6"/>
    <n v="0.75"/>
    <n v="0"/>
    <n v="1"/>
    <n v="2.25"/>
    <x v="0"/>
    <x v="0"/>
    <x v="4"/>
    <x v="4"/>
    <x v="31"/>
    <x v="0"/>
    <n v="0.375"/>
    <n v="92"/>
    <n v="106"/>
    <m/>
    <n v="2"/>
    <n v="3"/>
    <s v=""/>
    <n v="4"/>
    <n v="4"/>
    <s v=""/>
    <n v="0.625"/>
    <n v="1"/>
  </r>
  <r>
    <d v="2021-07-08T00:00:00"/>
    <n v="50"/>
    <x v="0"/>
    <x v="6"/>
    <n v="1"/>
    <n v="0"/>
    <n v="1"/>
    <n v="3"/>
    <x v="0"/>
    <x v="0"/>
    <x v="4"/>
    <x v="5"/>
    <x v="1"/>
    <x v="0"/>
    <n v="0.375"/>
    <n v="93"/>
    <n v="107"/>
    <m/>
    <n v="3"/>
    <n v="3"/>
    <s v=""/>
    <n v="4"/>
    <n v="4"/>
    <s v=""/>
    <n v="0.75"/>
    <n v="1"/>
  </r>
  <r>
    <d v="2021-07-08T00:00:00"/>
    <n v="51"/>
    <x v="3"/>
    <x v="5"/>
    <n v="0"/>
    <n v="4"/>
    <n v="0"/>
    <n v="0"/>
    <x v="0"/>
    <x v="3"/>
    <x v="9"/>
    <x v="0"/>
    <x v="1"/>
    <x v="1"/>
    <n v="0.375"/>
    <n v="94"/>
    <n v="108"/>
    <m/>
    <n v="0"/>
    <n v="0"/>
    <s v=""/>
    <n v="2"/>
    <n v="4"/>
    <s v=""/>
    <n v="0"/>
    <n v="0.75"/>
  </r>
  <r>
    <d v="2021-07-08T00:00:00"/>
    <n v="52"/>
    <x v="3"/>
    <x v="5"/>
    <n v="0.25"/>
    <n v="4"/>
    <n v="0"/>
    <n v="0.75"/>
    <x v="0"/>
    <x v="3"/>
    <x v="9"/>
    <x v="2"/>
    <x v="20"/>
    <x v="1"/>
    <n v="0.375"/>
    <n v="95"/>
    <n v="109"/>
    <m/>
    <n v="1"/>
    <n v="1"/>
    <s v=""/>
    <n v="4"/>
    <n v="4"/>
    <s v=""/>
    <n v="0.25"/>
    <n v="1"/>
  </r>
  <r>
    <d v="2021-07-08T00:00:00"/>
    <n v="53"/>
    <x v="3"/>
    <x v="5"/>
    <n v="0.5"/>
    <n v="4"/>
    <n v="0"/>
    <n v="1.5"/>
    <x v="0"/>
    <x v="3"/>
    <x v="9"/>
    <x v="1"/>
    <x v="21"/>
    <x v="1"/>
    <n v="0.375"/>
    <n v="96"/>
    <n v="110"/>
    <m/>
    <n v="1"/>
    <n v="2"/>
    <s v=""/>
    <n v="4"/>
    <n v="4"/>
    <s v=""/>
    <n v="0.375"/>
    <n v="1"/>
  </r>
  <r>
    <d v="2021-07-08T00:00:00"/>
    <n v="54"/>
    <x v="3"/>
    <x v="5"/>
    <n v="0.75"/>
    <n v="4"/>
    <n v="0"/>
    <n v="2.25"/>
    <x v="0"/>
    <x v="3"/>
    <x v="9"/>
    <x v="4"/>
    <x v="22"/>
    <x v="1"/>
    <n v="0.375"/>
    <n v="97"/>
    <n v="111"/>
    <m/>
    <n v="2"/>
    <n v="2"/>
    <s v=""/>
    <n v="4"/>
    <n v="4"/>
    <s v=""/>
    <n v="0.5"/>
    <n v="1"/>
  </r>
  <r>
    <d v="2021-07-08T00:00:00"/>
    <n v="55"/>
    <x v="3"/>
    <x v="5"/>
    <n v="1"/>
    <n v="4"/>
    <n v="0"/>
    <n v="3"/>
    <x v="0"/>
    <x v="3"/>
    <x v="9"/>
    <x v="5"/>
    <x v="23"/>
    <x v="1"/>
    <n v="0.375"/>
    <n v="98"/>
    <n v="112"/>
    <m/>
    <n v="2"/>
    <n v="3"/>
    <s v=""/>
    <n v="4"/>
    <n v="4"/>
    <s v=""/>
    <n v="0.625"/>
    <n v="1"/>
  </r>
  <r>
    <d v="2021-07-08T00:00:00"/>
    <n v="56"/>
    <x v="3"/>
    <x v="5"/>
    <n v="0"/>
    <n v="4"/>
    <n v="0"/>
    <n v="0"/>
    <x v="1"/>
    <x v="4"/>
    <x v="9"/>
    <x v="0"/>
    <x v="2"/>
    <x v="1"/>
    <n v="0.375"/>
    <n v="99"/>
    <n v="113"/>
    <m/>
    <n v="0"/>
    <n v="0"/>
    <s v=""/>
    <n v="0"/>
    <n v="0"/>
    <s v=""/>
    <n v="0"/>
    <n v="0"/>
  </r>
  <r>
    <d v="2021-07-08T00:00:00"/>
    <n v="57"/>
    <x v="3"/>
    <x v="5"/>
    <n v="0.5"/>
    <n v="4"/>
    <n v="0"/>
    <n v="1.5"/>
    <x v="1"/>
    <x v="4"/>
    <x v="9"/>
    <x v="2"/>
    <x v="8"/>
    <x v="1"/>
    <n v="0.375"/>
    <n v="100"/>
    <n v="114"/>
    <m/>
    <n v="1"/>
    <n v="2"/>
    <s v=""/>
    <n v="1"/>
    <n v="4"/>
    <s v=""/>
    <n v="0.375"/>
    <n v="0.625"/>
  </r>
  <r>
    <d v="2021-07-08T00:00:00"/>
    <n v="58"/>
    <x v="3"/>
    <x v="5"/>
    <n v="1"/>
    <n v="4"/>
    <n v="0"/>
    <n v="3"/>
    <x v="1"/>
    <x v="4"/>
    <x v="9"/>
    <x v="1"/>
    <x v="13"/>
    <x v="1"/>
    <n v="0.375"/>
    <n v="115"/>
    <n v="116"/>
    <m/>
    <n v="1"/>
    <n v="2"/>
    <s v=""/>
    <n v="4"/>
    <n v="4"/>
    <s v=""/>
    <n v="0.375"/>
    <n v="1"/>
  </r>
  <r>
    <m/>
    <m/>
    <x v="4"/>
    <x v="7"/>
    <n v="0"/>
    <n v="0"/>
    <n v="0"/>
    <n v="0"/>
    <x v="3"/>
    <x v="0"/>
    <x v="9"/>
    <x v="0"/>
    <x v="32"/>
    <x v="2"/>
    <m/>
    <m/>
    <m/>
    <m/>
    <m/>
    <m/>
    <s v=""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B7495D-63BF-41DC-AD73-83EA9754EB8A}" name="PivotTable1" cacheId="10" applyNumberFormats="0" applyBorderFormats="0" applyFontFormats="0" applyPatternFormats="0" applyAlignmentFormats="0" applyWidthHeightFormats="1" dataCaption="Values" grandTotalCaption="Average" updatedVersion="7" minRefreshableVersion="3" rowGrandTotals="0" colGrandTotals="0" itemPrintTitles="1" createdVersion="7" indent="0" showHeaders="0" outline="1" outlineData="1" multipleFieldFilters="0">
  <location ref="B40:E84" firstHeaderRow="1" firstDataRow="1" firstDataCol="3" rowPageCount="3" colPageCount="1"/>
  <pivotFields count="26">
    <pivotField numFmtId="14" showAll="0"/>
    <pivotField showAll="0"/>
    <pivotField axis="axisPage" multipleItemSelectionAllowed="1" showAll="0">
      <items count="6">
        <item x="2"/>
        <item x="1"/>
        <item x="0"/>
        <item x="3"/>
        <item x="4"/>
        <item t="default"/>
      </items>
    </pivotField>
    <pivotField axis="axisPage" numFmtId="9" multipleItemSelectionAllowed="1" showAll="0">
      <items count="9">
        <item x="7"/>
        <item x="4"/>
        <item x="3"/>
        <item x="6"/>
        <item x="2"/>
        <item x="1"/>
        <item x="0"/>
        <item x="5"/>
        <item t="default"/>
      </items>
    </pivotField>
    <pivotField numFmtId="9" showAll="0"/>
    <pivotField numFmtId="165" showAll="0"/>
    <pivotField numFmtId="165" showAll="0"/>
    <pivotField numFmtId="165"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outline="0" showAll="0" sortType="de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showAll="0" sortType="de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sortType="ascending" defaultSubtotal="0">
      <items count="7">
        <item x="0"/>
        <item x="2"/>
        <item x="3"/>
        <item m="1" x="6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3">
        <item x="32"/>
        <item x="5"/>
        <item x="3"/>
        <item x="14"/>
        <item x="4"/>
        <item x="10"/>
        <item x="12"/>
        <item x="15"/>
        <item x="9"/>
        <item x="11"/>
        <item x="7"/>
        <item x="2"/>
        <item x="6"/>
        <item x="8"/>
        <item x="31"/>
        <item x="13"/>
        <item x="1"/>
        <item x="29"/>
        <item x="20"/>
        <item x="30"/>
        <item x="21"/>
        <item x="22"/>
        <item x="23"/>
        <item x="0"/>
        <item x="16"/>
        <item x="17"/>
        <item x="18"/>
        <item x="19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numFmtId="165" showAll="0"/>
  </pivotFields>
  <rowFields count="3">
    <field x="13"/>
    <field x="12"/>
    <field x="11"/>
  </rowFields>
  <rowItems count="44">
    <i>
      <x v="1"/>
      <x v="1"/>
      <x/>
    </i>
    <i r="1">
      <x v="2"/>
      <x/>
    </i>
    <i r="1">
      <x v="3"/>
      <x v="1"/>
    </i>
    <i r="1">
      <x v="4"/>
      <x/>
    </i>
    <i r="1">
      <x v="5"/>
      <x v="1"/>
    </i>
    <i r="1">
      <x v="7"/>
      <x v="4"/>
    </i>
    <i r="1">
      <x v="8"/>
      <x v="1"/>
    </i>
    <i r="1">
      <x v="10"/>
      <x v="4"/>
    </i>
    <i r="1">
      <x v="11"/>
      <x/>
    </i>
    <i r="1">
      <x v="12"/>
      <x v="4"/>
    </i>
    <i r="1">
      <x v="13"/>
      <x v="1"/>
    </i>
    <i r="1">
      <x v="14"/>
      <x v="5"/>
    </i>
    <i r="1">
      <x v="15"/>
      <x v="4"/>
    </i>
    <i r="1">
      <x v="16"/>
      <x/>
    </i>
    <i r="2">
      <x v="6"/>
    </i>
    <i r="1">
      <x v="17"/>
      <x v="5"/>
    </i>
    <i r="1">
      <x v="18"/>
      <x v="1"/>
    </i>
    <i r="1">
      <x v="19"/>
      <x v="6"/>
    </i>
    <i r="1">
      <x v="20"/>
      <x v="4"/>
    </i>
    <i r="1">
      <x v="21"/>
      <x v="5"/>
    </i>
    <i r="1">
      <x v="22"/>
      <x v="6"/>
    </i>
    <i r="1">
      <x v="23"/>
      <x/>
    </i>
    <i r="1">
      <x v="24"/>
      <x v="1"/>
    </i>
    <i r="1">
      <x v="25"/>
      <x v="4"/>
    </i>
    <i r="1">
      <x v="26"/>
      <x v="5"/>
    </i>
    <i r="1">
      <x v="27"/>
      <x v="6"/>
    </i>
    <i>
      <x v="2"/>
      <x v="11"/>
      <x/>
    </i>
    <i r="1">
      <x v="13"/>
      <x v="1"/>
    </i>
    <i r="1">
      <x v="15"/>
      <x v="4"/>
    </i>
    <i r="1">
      <x v="16"/>
      <x/>
    </i>
    <i r="1">
      <x v="18"/>
      <x v="1"/>
    </i>
    <i r="1">
      <x v="20"/>
      <x v="4"/>
    </i>
    <i r="1">
      <x v="21"/>
      <x v="5"/>
    </i>
    <i r="1">
      <x v="22"/>
      <x v="6"/>
    </i>
    <i r="1">
      <x v="23"/>
      <x/>
    </i>
    <i r="1">
      <x v="24"/>
      <x v="1"/>
    </i>
    <i r="1">
      <x v="25"/>
      <x v="4"/>
    </i>
    <i r="1">
      <x v="26"/>
      <x v="5"/>
    </i>
    <i r="1">
      <x v="27"/>
      <x v="6"/>
    </i>
    <i r="1">
      <x v="28"/>
      <x/>
    </i>
    <i r="1">
      <x v="29"/>
      <x v="1"/>
    </i>
    <i r="1">
      <x v="30"/>
      <x v="4"/>
    </i>
    <i r="1">
      <x v="31"/>
      <x v="5"/>
    </i>
    <i r="1">
      <x v="32"/>
      <x v="6"/>
    </i>
  </rowItems>
  <colItems count="1">
    <i/>
  </colItems>
  <pageFields count="3">
    <pageField fld="8" hier="-1"/>
    <pageField fld="3" hier="-1"/>
    <pageField fld="2" hier="-1"/>
  </pageFields>
  <dataFields count="1">
    <dataField name="Average of Tape Overall" fld="24" subtotal="average" baseField="12" baseItem="12" numFmtId="9"/>
  </dataFields>
  <formats count="3">
    <format dxfId="24">
      <pivotArea type="origin" dataOnly="0" labelOnly="1" outline="0" fieldPosition="0"/>
    </format>
    <format dxfId="25">
      <pivotArea type="all" dataOnly="0" outline="0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16001-9FCC-4F90-B075-2BEDC98A8293}" name="PivotTable5" cacheId="10" applyNumberFormats="0" applyBorderFormats="0" applyFontFormats="0" applyPatternFormats="0" applyAlignmentFormats="0" applyWidthHeightFormats="1" dataCaption="Values" grandTotalCaption="Average" updatedVersion="7" minRefreshableVersion="3" itemPrintTitles="1" createdVersion="7" indent="0" showHeaders="0" outline="1" outlineData="1" multipleFieldFilters="0">
  <location ref="L23:R29" firstHeaderRow="1" firstDataRow="2" firstDataCol="1" rowPageCount="2" colPageCount="1"/>
  <pivotFields count="26">
    <pivotField numFmtId="14" showAll="0"/>
    <pivotField showAll="0"/>
    <pivotField axis="axisPage" multipleItemSelectionAllowed="1" showAll="0">
      <items count="6">
        <item x="2"/>
        <item x="1"/>
        <item h="1" x="0"/>
        <item x="3"/>
        <item h="1" x="4"/>
        <item t="default"/>
      </items>
    </pivotField>
    <pivotField numFmtId="9" multipleItemSelectionAllowed="1" showAll="0"/>
    <pivotField numFmtId="9" showAll="0"/>
    <pivotField numFmtId="165" showAll="0"/>
    <pivotField numFmtId="165" showAll="0"/>
    <pivotField numFmtId="165"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axis="axisRow" showAll="0" sortType="descending">
      <items count="6">
        <item x="1"/>
        <item x="2"/>
        <item x="3"/>
        <item x="4"/>
        <item x="0"/>
        <item t="default"/>
      </items>
    </pivotField>
    <pivotField showAll="0" sortType="descending"/>
    <pivotField axis="axisCol" showAll="0">
      <items count="8">
        <item x="0"/>
        <item x="2"/>
        <item m="1" x="6"/>
        <item x="1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dataField="1" numFmtId="165"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Fields count="1">
    <field x="11"/>
  </colFields>
  <colItems count="6">
    <i>
      <x/>
    </i>
    <i>
      <x v="1"/>
    </i>
    <i>
      <x v="3"/>
    </i>
    <i>
      <x v="5"/>
    </i>
    <i>
      <x v="6"/>
    </i>
    <i t="grand">
      <x/>
    </i>
  </colItems>
  <pageFields count="2">
    <pageField fld="8" hier="-1"/>
    <pageField fld="2" hier="-1"/>
  </pageFields>
  <dataFields count="1">
    <dataField name="Average of Scratch Overall" fld="25" subtotal="average" baseField="9" baseItem="3" numFmtId="9"/>
  </dataFields>
  <formats count="3">
    <format dxfId="32">
      <pivotArea type="origin" dataOnly="0" labelOnly="1" outline="0" fieldPosition="0"/>
    </format>
    <format dxfId="31">
      <pivotArea type="all" dataOnly="0" outline="0" fieldPosition="0"/>
    </format>
    <format dxfId="30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B00E4-A208-4359-B33C-3210B0699AB7}" name="PivotTable4" cacheId="10" applyNumberFormats="0" applyBorderFormats="0" applyFontFormats="0" applyPatternFormats="0" applyAlignmentFormats="0" applyWidthHeightFormats="1" dataCaption="Values" grandTotalCaption="Average" updatedVersion="7" minRefreshableVersion="3" itemPrintTitles="1" createdVersion="7" indent="0" showHeaders="0" outline="1" outlineData="1" multipleFieldFilters="0">
  <location ref="L4:R12" firstHeaderRow="1" firstDataRow="2" firstDataCol="1" rowPageCount="2" colPageCount="1"/>
  <pivotFields count="26">
    <pivotField numFmtId="14" showAll="0"/>
    <pivotField showAll="0"/>
    <pivotField showAll="0"/>
    <pivotField axis="axisPage" numFmtId="9" multipleItemSelectionAllowed="1" showAll="0">
      <items count="9">
        <item x="4"/>
        <item x="3"/>
        <item x="2"/>
        <item x="1"/>
        <item x="0"/>
        <item h="1" x="5"/>
        <item x="6"/>
        <item h="1" x="7"/>
        <item t="default"/>
      </items>
    </pivotField>
    <pivotField numFmtId="9" showAll="0"/>
    <pivotField numFmtId="165" showAll="0"/>
    <pivotField numFmtId="165" showAll="0"/>
    <pivotField numFmtId="165"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showAll="0"/>
    <pivotField axis="axisRow" showAll="0" sortType="descending">
      <items count="11">
        <item x="0"/>
        <item x="1"/>
        <item x="2"/>
        <item x="4"/>
        <item h="1" x="3"/>
        <item x="6"/>
        <item x="5"/>
        <item x="7"/>
        <item x="8"/>
        <item x="9"/>
        <item t="default"/>
      </items>
    </pivotField>
    <pivotField axis="axisCol" showAll="0">
      <items count="8">
        <item x="0"/>
        <item x="2"/>
        <item m="1" x="6"/>
        <item x="1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dataField="1" numFmtId="165" showAll="0"/>
  </pivotFields>
  <rowFields count="1">
    <field x="10"/>
  </rowFields>
  <rowItems count="7">
    <i>
      <x/>
    </i>
    <i>
      <x v="1"/>
    </i>
    <i>
      <x v="2"/>
    </i>
    <i>
      <x v="3"/>
    </i>
    <i>
      <x v="6"/>
    </i>
    <i>
      <x v="8"/>
    </i>
    <i t="grand">
      <x/>
    </i>
  </rowItems>
  <colFields count="1">
    <field x="11"/>
  </colFields>
  <colItems count="6">
    <i>
      <x/>
    </i>
    <i>
      <x v="1"/>
    </i>
    <i>
      <x v="3"/>
    </i>
    <i>
      <x v="5"/>
    </i>
    <i>
      <x v="6"/>
    </i>
    <i t="grand">
      <x/>
    </i>
  </colItems>
  <pageFields count="2">
    <pageField fld="8" hier="-1"/>
    <pageField fld="3" hier="-1"/>
  </pageFields>
  <dataFields count="1">
    <dataField name="Average of Scratch Overall" fld="25" subtotal="average" baseField="10" baseItem="2" numFmtId="9"/>
  </dataFields>
  <formats count="3">
    <format dxfId="35">
      <pivotArea type="origin" dataOnly="0" labelOnly="1" outline="0" fieldPosition="0"/>
    </format>
    <format dxfId="34">
      <pivotArea type="all" dataOnly="0" outline="0" fieldPosition="0"/>
    </format>
    <format dxfId="33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7F8B0-D0D0-4912-8930-82D6DB11BB98}" name="PivotTable9" cacheId="10" applyNumberFormats="0" applyBorderFormats="0" applyFontFormats="0" applyPatternFormats="0" applyAlignmentFormats="0" applyWidthHeightFormats="1" dataCaption="Values" grandTotalCaption="Average" updatedVersion="7" minRefreshableVersion="3" rowGrandTotals="0" colGrandTotals="0" itemPrintTitles="1" createdVersion="7" indent="0" showHeaders="0" outline="1" outlineData="1" multipleFieldFilters="0">
  <location ref="W40:Y45" firstHeaderRow="1" firstDataRow="1" firstDataCol="2" rowPageCount="3" colPageCount="1"/>
  <pivotFields count="26">
    <pivotField numFmtId="14" showAll="0"/>
    <pivotField showAll="0"/>
    <pivotField axis="axisPage" multipleItemSelectionAllowed="1" showAll="0">
      <items count="6">
        <item x="2"/>
        <item x="1"/>
        <item x="0"/>
        <item x="3"/>
        <item x="4"/>
        <item t="default"/>
      </items>
    </pivotField>
    <pivotField axis="axisPage" numFmtId="9" multipleItemSelectionAllowed="1" showAll="0">
      <items count="9">
        <item x="7"/>
        <item x="4"/>
        <item x="3"/>
        <item x="6"/>
        <item x="2"/>
        <item x="1"/>
        <item x="0"/>
        <item x="5"/>
        <item t="default"/>
      </items>
    </pivotField>
    <pivotField numFmtId="9" showAll="0"/>
    <pivotField numFmtId="165" showAll="0"/>
    <pivotField numFmtId="165" showAll="0"/>
    <pivotField numFmtId="165"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axis="axisRow" outline="0" showAll="0" sortType="descending" defaultSubtotal="0">
      <items count="5">
        <item x="1"/>
        <item x="2"/>
        <item x="3"/>
        <item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outline="0" showAll="0" sortType="de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numFmtId="165" showAll="0"/>
  </pivotFields>
  <rowFields count="2">
    <field x="13"/>
    <field x="9"/>
  </rowFields>
  <rowItems count="5">
    <i>
      <x v="1"/>
      <x v="4"/>
    </i>
    <i>
      <x v="2"/>
      <x/>
    </i>
    <i r="1">
      <x v="1"/>
    </i>
    <i r="1">
      <x v="2"/>
    </i>
    <i r="1">
      <x v="3"/>
    </i>
  </rowItems>
  <colItems count="1">
    <i/>
  </colItems>
  <pageFields count="3">
    <pageField fld="8" hier="-1"/>
    <pageField fld="3" hier="-1"/>
    <pageField fld="2" hier="-1"/>
  </pageFields>
  <dataFields count="1">
    <dataField name="Average of Tape Overall" fld="24" subtotal="average" baseField="12" baseItem="12" numFmtId="9"/>
  </dataFields>
  <formats count="3">
    <format dxfId="38">
      <pivotArea type="origin" dataOnly="0" labelOnly="1" outline="0" fieldPosition="0"/>
    </format>
    <format dxfId="37">
      <pivotArea type="all" dataOnly="0" outline="0" fieldPosition="0"/>
    </format>
    <format dxfId="36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3DE905-CA4C-44B3-9D9C-4ED6A9478032}" name="PivotTable8" cacheId="10" applyNumberFormats="0" applyBorderFormats="0" applyFontFormats="0" applyPatternFormats="0" applyAlignmentFormats="0" applyWidthHeightFormats="1" dataCaption="Values" grandTotalCaption="Average" updatedVersion="7" minRefreshableVersion="3" rowGrandTotals="0" colGrandTotals="0" itemPrintTitles="1" createdVersion="7" indent="0" showHeaders="0" outline="1" outlineData="1" multipleFieldFilters="0">
  <location ref="P40:R48" firstHeaderRow="1" firstDataRow="1" firstDataCol="2" rowPageCount="3" colPageCount="1"/>
  <pivotFields count="26">
    <pivotField numFmtId="14" showAll="0"/>
    <pivotField showAll="0"/>
    <pivotField axis="axisPage" multipleItemSelectionAllowed="1" showAll="0">
      <items count="6">
        <item x="2"/>
        <item x="1"/>
        <item x="0"/>
        <item x="3"/>
        <item x="4"/>
        <item t="default"/>
      </items>
    </pivotField>
    <pivotField axis="axisPage" numFmtId="9" multipleItemSelectionAllowed="1" showAll="0">
      <items count="9">
        <item x="7"/>
        <item x="4"/>
        <item x="3"/>
        <item x="6"/>
        <item x="2"/>
        <item x="1"/>
        <item x="0"/>
        <item x="5"/>
        <item t="default"/>
      </items>
    </pivotField>
    <pivotField numFmtId="9" showAll="0"/>
    <pivotField numFmtId="165" showAll="0"/>
    <pivotField numFmtId="165" showAll="0"/>
    <pivotField numFmtId="165"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outline="0" showAll="0" sortType="de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sortType="descending" defaultSubtotal="0">
      <items count="10">
        <item x="0"/>
        <item x="1"/>
        <item x="2"/>
        <item x="4"/>
        <item x="3"/>
        <item x="6"/>
        <item x="5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numFmtId="165" showAll="0"/>
  </pivotFields>
  <rowFields count="2">
    <field x="13"/>
    <field x="10"/>
  </rowFields>
  <rowItems count="8">
    <i>
      <x v="1"/>
      <x/>
    </i>
    <i r="1">
      <x v="1"/>
    </i>
    <i r="1">
      <x v="2"/>
    </i>
    <i r="1">
      <x v="3"/>
    </i>
    <i r="1">
      <x v="4"/>
    </i>
    <i r="1">
      <x v="6"/>
    </i>
    <i r="1">
      <x v="8"/>
    </i>
    <i>
      <x v="2"/>
      <x v="9"/>
    </i>
  </rowItems>
  <colItems count="1">
    <i/>
  </colItems>
  <pageFields count="3">
    <pageField fld="8" hier="-1"/>
    <pageField fld="3" hier="-1"/>
    <pageField fld="2" hier="-1"/>
  </pageFields>
  <dataFields count="1">
    <dataField name="Average of Tape Overall" fld="24" subtotal="average" baseField="12" baseItem="12" numFmtId="9"/>
  </dataFields>
  <formats count="3">
    <format dxfId="41">
      <pivotArea type="origin" dataOnly="0" labelOnly="1" outline="0" fieldPosition="0"/>
    </format>
    <format dxfId="40">
      <pivotArea type="all" dataOnly="0" outline="0" fieldPosition="0"/>
    </format>
    <format dxfId="39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8C03-D9A0-483C-8FFB-A4F0CB9F1D2A}" name="PivotTable3" cacheId="10" applyNumberFormats="0" applyBorderFormats="0" applyFontFormats="0" applyPatternFormats="0" applyAlignmentFormats="0" applyWidthHeightFormats="1" dataCaption="Values" grandTotalCaption="Average" updatedVersion="7" minRefreshableVersion="3" itemPrintTitles="1" createdVersion="7" indent="0" showHeaders="0" outline="1" outlineData="1" multipleFieldFilters="0">
  <location ref="B4:H12" firstHeaderRow="1" firstDataRow="2" firstDataCol="1" rowPageCount="2" colPageCount="1"/>
  <pivotFields count="26">
    <pivotField numFmtId="14" showAll="0"/>
    <pivotField showAll="0"/>
    <pivotField showAll="0"/>
    <pivotField axis="axisPage" numFmtId="9" multipleItemSelectionAllowed="1" showAll="0">
      <items count="9">
        <item x="4"/>
        <item x="3"/>
        <item x="2"/>
        <item x="1"/>
        <item x="0"/>
        <item h="1" x="5"/>
        <item x="6"/>
        <item h="1" x="7"/>
        <item t="default"/>
      </items>
    </pivotField>
    <pivotField numFmtId="9" showAll="0"/>
    <pivotField numFmtId="165" showAll="0"/>
    <pivotField numFmtId="165" showAll="0"/>
    <pivotField numFmtId="165"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showAll="0"/>
    <pivotField axis="axisRow" showAll="0" sortType="descending">
      <items count="11">
        <item x="0"/>
        <item x="1"/>
        <item x="2"/>
        <item x="4"/>
        <item h="1" x="3"/>
        <item x="6"/>
        <item x="5"/>
        <item x="7"/>
        <item x="8"/>
        <item x="9"/>
        <item t="default"/>
      </items>
    </pivotField>
    <pivotField axis="axisCol" showAll="0">
      <items count="8">
        <item x="0"/>
        <item x="2"/>
        <item m="1" x="6"/>
        <item x="1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numFmtId="165" showAll="0"/>
  </pivotFields>
  <rowFields count="1">
    <field x="10"/>
  </rowFields>
  <rowItems count="7">
    <i>
      <x/>
    </i>
    <i>
      <x v="1"/>
    </i>
    <i>
      <x v="2"/>
    </i>
    <i>
      <x v="3"/>
    </i>
    <i>
      <x v="6"/>
    </i>
    <i>
      <x v="8"/>
    </i>
    <i t="grand">
      <x/>
    </i>
  </rowItems>
  <colFields count="1">
    <field x="11"/>
  </colFields>
  <colItems count="6">
    <i>
      <x/>
    </i>
    <i>
      <x v="1"/>
    </i>
    <i>
      <x v="3"/>
    </i>
    <i>
      <x v="5"/>
    </i>
    <i>
      <x v="6"/>
    </i>
    <i t="grand">
      <x/>
    </i>
  </colItems>
  <pageFields count="2">
    <pageField fld="8" hier="-1"/>
    <pageField fld="3" hier="-1"/>
  </pageFields>
  <dataFields count="1">
    <dataField name="Average of Tape Overall" fld="24" subtotal="average" baseField="10" baseItem="0" numFmtId="9"/>
  </dataFields>
  <formats count="3">
    <format dxfId="44">
      <pivotArea type="origin" dataOnly="0" labelOnly="1" outline="0" fieldPosition="0"/>
    </format>
    <format dxfId="43">
      <pivotArea type="all" dataOnly="0" outline="0" fieldPosition="0"/>
    </format>
    <format dxfId="42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4BACD6-275C-4BB6-8490-CB6340641622}" name="PivotTable7" cacheId="10" applyNumberFormats="0" applyBorderFormats="0" applyFontFormats="0" applyPatternFormats="0" applyAlignmentFormats="0" applyWidthHeightFormats="1" dataCaption="Values" grandTotalCaption="Average" updatedVersion="7" minRefreshableVersion="3" rowGrandTotals="0" colGrandTotals="0" itemPrintTitles="1" createdVersion="7" indent="0" showHeaders="0" outline="1" outlineData="1" multipleFieldFilters="0">
  <location ref="I40:K50" firstHeaderRow="1" firstDataRow="1" firstDataCol="2" rowPageCount="3" colPageCount="1"/>
  <pivotFields count="26">
    <pivotField numFmtId="14" showAll="0"/>
    <pivotField showAll="0"/>
    <pivotField axis="axisPage" multipleItemSelectionAllowed="1" showAll="0">
      <items count="6">
        <item x="2"/>
        <item x="1"/>
        <item x="0"/>
        <item x="3"/>
        <item x="4"/>
        <item t="default"/>
      </items>
    </pivotField>
    <pivotField axis="axisPage" numFmtId="9" multipleItemSelectionAllowed="1" showAll="0">
      <items count="9">
        <item x="7"/>
        <item x="4"/>
        <item x="3"/>
        <item x="6"/>
        <item x="2"/>
        <item x="1"/>
        <item x="0"/>
        <item x="5"/>
        <item t="default"/>
      </items>
    </pivotField>
    <pivotField numFmtId="9" showAll="0"/>
    <pivotField numFmtId="165" showAll="0"/>
    <pivotField numFmtId="165" showAll="0"/>
    <pivotField numFmtId="165"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outline="0" showAll="0" sortType="de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showAll="0" sortType="de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sortType="ascending" defaultSubtotal="0">
      <items count="7">
        <item x="0"/>
        <item x="2"/>
        <item x="3"/>
        <item m="1" x="6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numFmtId="165" showAll="0"/>
  </pivotFields>
  <rowFields count="2">
    <field x="13"/>
    <field x="11"/>
  </rowFields>
  <rowItems count="10">
    <i>
      <x v="1"/>
      <x/>
    </i>
    <i r="1">
      <x v="1"/>
    </i>
    <i r="1">
      <x v="4"/>
    </i>
    <i r="1">
      <x v="5"/>
    </i>
    <i r="1">
      <x v="6"/>
    </i>
    <i>
      <x v="2"/>
      <x/>
    </i>
    <i r="1">
      <x v="1"/>
    </i>
    <i r="1">
      <x v="4"/>
    </i>
    <i r="1">
      <x v="5"/>
    </i>
    <i r="1">
      <x v="6"/>
    </i>
  </rowItems>
  <colItems count="1">
    <i/>
  </colItems>
  <pageFields count="3">
    <pageField fld="8" hier="-1"/>
    <pageField fld="3" hier="-1"/>
    <pageField fld="2" hier="-1"/>
  </pageFields>
  <dataFields count="1">
    <dataField name="Average of Tape Overall" fld="24" subtotal="average" baseField="12" baseItem="12" numFmtId="9"/>
  </dataFields>
  <formats count="3">
    <format dxfId="47">
      <pivotArea type="origin" dataOnly="0" labelOnly="1" outline="0" fieldPosition="0"/>
    </format>
    <format dxfId="46">
      <pivotArea type="all" dataOnly="0" outline="0" fieldPosition="0"/>
    </format>
    <format dxfId="45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08CD08-5497-4D3E-A296-1BB2176BA44D}" name="PivotTable6" cacheId="10" applyNumberFormats="0" applyBorderFormats="0" applyFontFormats="0" applyPatternFormats="0" applyAlignmentFormats="0" applyWidthHeightFormats="1" dataCaption="Values" grandTotalCaption="Average" updatedVersion="7" minRefreshableVersion="3" itemPrintTitles="1" createdVersion="7" indent="0" showHeaders="0" outline="1" outlineData="1" multipleFieldFilters="0">
  <location ref="B23:H29" firstHeaderRow="1" firstDataRow="2" firstDataCol="1" rowPageCount="2" colPageCount="1"/>
  <pivotFields count="26">
    <pivotField numFmtId="14" showAll="0"/>
    <pivotField showAll="0"/>
    <pivotField axis="axisPage" multipleItemSelectionAllowed="1" showAll="0">
      <items count="6">
        <item x="2"/>
        <item x="1"/>
        <item h="1" x="0"/>
        <item x="3"/>
        <item h="1" x="4"/>
        <item t="default"/>
      </items>
    </pivotField>
    <pivotField numFmtId="9" multipleItemSelectionAllowed="1" showAll="0"/>
    <pivotField numFmtId="9" showAll="0"/>
    <pivotField numFmtId="165" showAll="0"/>
    <pivotField numFmtId="165" showAll="0"/>
    <pivotField numFmtId="165" showAll="0"/>
    <pivotField axis="axisPage" multipleItemSelectionAllowed="1" showAll="0">
      <items count="5">
        <item x="0"/>
        <item x="1"/>
        <item h="1" x="2"/>
        <item h="1" x="3"/>
        <item t="default"/>
      </items>
    </pivotField>
    <pivotField axis="axisRow" showAll="0" sortType="descending">
      <items count="6">
        <item x="1"/>
        <item x="2"/>
        <item x="3"/>
        <item x="4"/>
        <item x="0"/>
        <item t="default"/>
      </items>
    </pivotField>
    <pivotField showAll="0" sortType="descending"/>
    <pivotField axis="axisCol" showAll="0">
      <items count="8">
        <item x="0"/>
        <item x="2"/>
        <item m="1" x="6"/>
        <item x="1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numFmtId="165"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Fields count="1">
    <field x="11"/>
  </colFields>
  <colItems count="6">
    <i>
      <x/>
    </i>
    <i>
      <x v="1"/>
    </i>
    <i>
      <x v="3"/>
    </i>
    <i>
      <x v="5"/>
    </i>
    <i>
      <x v="6"/>
    </i>
    <i t="grand">
      <x/>
    </i>
  </colItems>
  <pageFields count="2">
    <pageField fld="8" hier="-1"/>
    <pageField fld="2" hier="-1"/>
  </pageFields>
  <dataFields count="1">
    <dataField name="Average of Tape Overall" fld="24" subtotal="average" baseField="9" baseItem="2" numFmtId="9"/>
  </dataFields>
  <formats count="3">
    <format dxfId="50">
      <pivotArea type="origin" dataOnly="0" labelOnly="1" outline="0" fieldPosition="0"/>
    </format>
    <format dxfId="49">
      <pivotArea type="all" dataOnly="0" outline="0" fieldPosition="0"/>
    </format>
    <format dxfId="48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7AA280D-C946-47FB-8356-2610F83118F9}" name="Table7" displayName="Table7" ref="B2:F118" totalsRowShown="0">
  <autoFilter ref="B2:F118" xr:uid="{17AA280D-C946-47FB-8356-2610F83118F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813D5CA-ED5B-4C9A-820F-B7EBC5A7346D}" name="Can"/>
    <tableColumn id="2" xr3:uid="{0EC1E324-ED9A-422D-A82B-71E29E0C89E2}" name="Tape" dataDxfId="93" dataCellStyle="Percent"/>
    <tableColumn id="3" xr3:uid="{9FC8C900-0548-4112-A208-25DF7E2C2A03}" name="Scratch" dataDxfId="92" dataCellStyle="Percent"/>
    <tableColumn id="4" xr3:uid="{179D4516-9D66-48D0-B77A-AFD5F3CDECCA}" name="Wipe" dataDxfId="91" dataCellStyle="Percent"/>
    <tableColumn id="5" xr3:uid="{0BA066E0-EE26-475B-A65C-DF03DAF88A94}" name="Scratch Mark" dataDxfId="90" dataCellStyle="Percen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324C4A-36BA-442A-BF36-617A45491ED9}" name="Table1" displayName="Table1" ref="C13:W21" totalsRowShown="0">
  <autoFilter ref="C13:W21" xr:uid="{CF324C4A-36BA-442A-BF36-617A45491E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165FD12C-C722-4100-B809-C415C7EEAB4B}" name="Lamp"/>
    <tableColumn id="2" xr3:uid="{485A31E0-968B-4130-A49C-EDA20DBAF6E0}" name="Radiometer"/>
    <tableColumn id="3" xr3:uid="{87E013BC-9437-49CA-A38E-5B4497450BBC}" name="Lamp Nominal Power (W/cm)"/>
    <tableColumn id="4" xr3:uid="{1C5EE8D0-A265-452E-AA80-4D444ADFB32B}" name="Power Setting"/>
    <tableColumn id="5" xr3:uid="{6BA2FF82-150F-4F58-B85E-B3CE5DCA8D28}" name="Conveyor Speed (ft/min)"/>
    <tableColumn id="6" xr3:uid="{3C449E49-EB4C-48A4-AA0C-47A5F87D08C8}" name="Ht (belt to lens) (in)"/>
    <tableColumn id="7" xr3:uid="{8DECC033-B1C2-4D6A-8FB6-224F4B06F3F0}" name="Ht (can dolly) (in)"/>
    <tableColumn id="8" xr3:uid="{0716B022-7A31-41A8-8857-B9B8CF8A09BC}" name="Gap (in)"/>
    <tableColumn id="9" xr3:uid="{30B6A8E6-96BD-43AB-AD8D-9C9C5E4C1380}" name="UVA Dose" dataDxfId="86"/>
    <tableColumn id="10" xr3:uid="{EE2DB933-44B4-48B9-86CB-266B936DB4CC}" name="UVA Peak Irr." dataDxfId="85"/>
    <tableColumn id="11" xr3:uid="{70AF1674-5F4F-4D29-8D0C-963928E8F8BC}" name="UVB Dose" dataDxfId="84"/>
    <tableColumn id="12" xr3:uid="{F4CDFB3D-2460-4405-9C38-98AB8DCD7046}" name="UVB Peak Irr." dataDxfId="83"/>
    <tableColumn id="13" xr3:uid="{711C1D82-8934-4DAB-A2F4-5BFBE1385DC4}" name="UVC Dose" dataDxfId="82"/>
    <tableColumn id="14" xr3:uid="{E759B7E5-2C5B-4CE1-AA6E-20A19211EF99}" name="UVC Peak Irr." dataDxfId="81"/>
    <tableColumn id="15" xr3:uid="{85FDCBE1-FAF2-4A37-84CB-D9E07C2D6837}" name="UVV Dose" dataDxfId="80"/>
    <tableColumn id="16" xr3:uid="{449DB5D2-9B91-4BB4-B496-363B9EA8BF2A}" name="UVV Peak Irr." dataDxfId="79"/>
    <tableColumn id="17" xr3:uid="{B7C10C9F-EA99-465B-A63B-6B5E36DE7FE3}" name="Total Dose (J/cm2)" dataDxfId="78">
      <calculatedColumnFormula>Table1[[#This Row],[UVA Dose]]+Table1[[#This Row],[UVB Dose]]+Table1[[#This Row],[UVC Dose]]+Table1[[#This Row],[UVV Dose]]</calculatedColumnFormula>
    </tableColumn>
    <tableColumn id="18" xr3:uid="{FAC2E960-6775-4991-AC7B-9C5043078C04}" name="Total Peak Irradiance (W/cm2)" dataDxfId="77">
      <calculatedColumnFormula>Table1[[#This Row],[UVA Peak Irr.]]+Table1[[#This Row],[UVB Peak Irr.]]+Table1[[#This Row],[UVC Peak Irr.]]+Table1[[#This Row],[UVV Peak Irr.]]</calculatedColumnFormula>
    </tableColumn>
    <tableColumn id="21" xr3:uid="{29D74258-D50D-429A-8C03-F154F69A4C6E}" name="DF" dataDxfId="76"/>
    <tableColumn id="20" xr3:uid="{004F87E5-2F92-47C6-9813-CC699A0FF909}" name="PPF" dataDxfId="75">
      <calculatedColumnFormula>IFERROR(Table1[[#This Row],[Total Peak Irradiance (W/cm2)]]/1000/Table1[[#This Row],[Lamp Nominal Power (W/cm)]],"")</calculatedColumnFormula>
    </tableColumn>
    <tableColumn id="19" xr3:uid="{E77A5EE2-6B44-46BA-AD10-7CD8C38BB845}" name="Note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E79442-F50B-42B1-9932-7049DE392A09}" name="QualData" displayName="QualData" ref="C25:AB84" totalsRowShown="0">
  <autoFilter ref="C25:AB84" xr:uid="{58E79442-F50B-42B1-9932-7049DE392A09}"/>
  <sortState xmlns:xlrd2="http://schemas.microsoft.com/office/spreadsheetml/2017/richdata2" ref="C26:AB84">
    <sortCondition ref="D25:D84"/>
  </sortState>
  <tableColumns count="26">
    <tableColumn id="28" xr3:uid="{3F75588F-80A1-496B-90A7-6AB42844D149}" name="Date" dataDxfId="74"/>
    <tableColumn id="27" xr3:uid="{24D8D70C-0855-4BB5-BF13-A8B80FBEEC88}" name="Test ID" dataDxfId="73"/>
    <tableColumn id="29" xr3:uid="{A5B3F788-EA83-4B51-A64C-3A26F3FA3F15}" name="395nm Power Setting (%)" dataDxfId="72" dataCellStyle="Percent"/>
    <tableColumn id="3" xr3:uid="{381A1961-6154-4F28-A50A-3FDEA17178B9}" name="365nm Power Setting (%)" dataDxfId="71" dataCellStyle="Percent"/>
    <tableColumn id="9" xr3:uid="{8EF8BEA3-1121-412C-B66B-5B0083D9D95C}" name="275nm Power (%)" dataDxfId="70" dataCellStyle="Percent"/>
    <tableColumn id="30" xr3:uid="{C61CE3DA-C2DF-49A0-9995-27838C336BDF}" name="395nm Irr. (W/cm2)" dataDxfId="69" dataCellStyle="Percent">
      <calculatedColumnFormula>QualData[[#This Row],[395nm Power Setting (%)]]*16</calculatedColumnFormula>
    </tableColumn>
    <tableColumn id="10" xr3:uid="{048A934F-282E-4F0D-ABD2-ACC0A26E09CC}" name="365nm Irr. (W/cm2)" dataDxfId="68" dataCellStyle="Percent">
      <calculatedColumnFormula>QualData[[#This Row],[365nm Power Setting (%)]]*8</calculatedColumnFormula>
    </tableColumn>
    <tableColumn id="4" xr3:uid="{DFBF7002-5713-41DC-8CF0-252BE0B83112}" name="275nm Irr. (W/cm2)" dataDxfId="67">
      <calculatedColumnFormula>QualData[[#This Row],[275nm Power (%)]]*3</calculatedColumnFormula>
    </tableColumn>
    <tableColumn id="5" xr3:uid="{F334E1E5-D504-4A3A-96C1-2A9FAB68B9EA}" name="Conveyor Speed (ft/min)"/>
    <tableColumn id="31" xr3:uid="{B67D7A70-137C-4892-8179-E67FAB4620AB}" name="395nm Normalized Dose" dataDxfId="66">
      <calculatedColumnFormula>60*QualData[[#This Row],[395nm Irr. (W/cm2)]]/QualData[[#This Row],[Conveyor Speed (ft/min)]]</calculatedColumnFormula>
    </tableColumn>
    <tableColumn id="17" xr3:uid="{13BCC271-5607-4A9A-B129-BBA653A97547}" name="365nm Normalized Dose" dataDxfId="65">
      <calculatedColumnFormula>60*QualData[[#This Row],[365nm Irr. (W/cm2)]]/QualData[[#This Row],[Conveyor Speed (ft/min)]]</calculatedColumnFormula>
    </tableColumn>
    <tableColumn id="18" xr3:uid="{936274CA-46A8-4003-9B66-C5FB747A5A83}" name="275nm Normalized Dose" dataDxfId="64">
      <calculatedColumnFormula>60*QualData[[#This Row],[275nm Irr. (W/cm2)]]/QualData[[#This Row],[Conveyor Speed (ft/min)]]</calculatedColumnFormula>
    </tableColumn>
    <tableColumn id="22" xr3:uid="{89C93B44-F9D0-456E-9C93-06DF5E3F2CEA}" name="Total Normalized Dose" dataDxfId="63">
      <calculatedColumnFormula>SUM(QualData[[#This Row],[395nm Normalized Dose]:[275nm Normalized Dose]])</calculatedColumnFormula>
    </tableColumn>
    <tableColumn id="1" xr3:uid="{3094E867-8F6F-4834-8768-2A746DD226B9}" name="UVA Wavelength" dataDxfId="62">
      <calculatedColumnFormula>IF(QualData[[#This Row],[395nm Normalized Dose]],"395nm",IF(QualData[[#This Row],[365nm Normalized Dose]],"365nm",""))</calculatedColumnFormula>
    </tableColumn>
    <tableColumn id="6" xr3:uid="{053DAB7D-7661-47D7-831F-58AB3DDF30D1}" name="Gap (in)"/>
    <tableColumn id="7" xr3:uid="{38E34EF3-A326-4B0E-A1C0-1511FACB8C56}" name="Trial 1" dataDxfId="61"/>
    <tableColumn id="8" xr3:uid="{4D74E73C-D043-416F-9DA4-66DD07A70006}" name="Trial 2" dataDxfId="60"/>
    <tableColumn id="19" xr3:uid="{61E6FA07-2F04-4B9F-B0ED-44CDBE533967}" name="Trial 3" dataDxfId="59"/>
    <tableColumn id="11" xr3:uid="{DDE6ED7E-F2E4-4FA6-B20C-C55EB6575EC2}" name="Trial 1 Tape Score" dataDxfId="58">
      <calculatedColumnFormula>IF(ISNUMBER(INDEX(Table7[Tape],MATCH(QualData[[#This Row],[Trial 1]],Table7[Can],0))),INDEX(Table7[Tape],MATCH(QualData[[#This Row],[Trial 1]],Table7[Can],0)),"")</calculatedColumnFormula>
    </tableColumn>
    <tableColumn id="12" xr3:uid="{4DB6EFA9-4960-4783-8A61-538E45F6C91A}" name="Trial 2 Tape Score" dataDxfId="57">
      <calculatedColumnFormula>IF(ISNUMBER(INDEX(Table7[Tape],MATCH(QualData[[#This Row],[Trial 2]],Table7[Can],0))),INDEX(Table7[Tape],MATCH(QualData[[#This Row],[Trial 2]],Table7[Can],0)),"")</calculatedColumnFormula>
    </tableColumn>
    <tableColumn id="13" xr3:uid="{27BF0FA9-AF14-4B61-8082-B7B5D4FA7BD0}" name="Trial 3 Tape Score" dataDxfId="56">
      <calculatedColumnFormula>IF(ISNUMBER(INDEX(Table7[Tape],MATCH(QualData[[#This Row],[Trial 3]],Table7[Can],0))),INDEX(Table7[Tape],MATCH(QualData[[#This Row],[Trial 3]],Table7[Can],0)),"")</calculatedColumnFormula>
    </tableColumn>
    <tableColumn id="14" xr3:uid="{CC5BB92B-44C7-43AC-95C7-A0F7594E85B7}" name="Trial 1 Scratch Score" dataDxfId="55">
      <calculatedColumnFormula>IF(ISNUMBER(INDEX(Table7[Scratch],MATCH(QualData[[#This Row],[Trial 1]],Table7[Can],0))),INDEX(Table7[Scratch],MATCH(QualData[[#This Row],[Trial 1]],Table7[Can],0)),"")</calculatedColumnFormula>
    </tableColumn>
    <tableColumn id="15" xr3:uid="{AF22AE72-0BD7-4207-94E7-37CCA15FA03F}" name="Trial 2 Scratch Score" dataDxfId="54">
      <calculatedColumnFormula>IF(ISNUMBER(INDEX(Table7[Scratch],MATCH(QualData[[#This Row],[Trial 2]],Table7[Can],0))),INDEX(Table7[Scratch],MATCH(QualData[[#This Row],[Trial 2]],Table7[Can],0)),"")</calculatedColumnFormula>
    </tableColumn>
    <tableColumn id="16" xr3:uid="{26C05C85-987F-4819-AF66-EC6E8252D2AE}" name="Trial 3 Scratch Score" dataDxfId="53">
      <calculatedColumnFormula>IF(ISNUMBER(INDEX(Table7[Scratch],MATCH(QualData[[#This Row],[Trial 3]],Table7[Can],0))),INDEX(Table7[Scratch],MATCH(QualData[[#This Row],[Trial 3]],Table7[Can],0)),"")</calculatedColumnFormula>
    </tableColumn>
    <tableColumn id="20" xr3:uid="{E53FC5E7-1254-4FB3-BAE9-71A9DB833183}" name="Tape Overall" dataDxfId="52" dataCellStyle="Percent">
      <calculatedColumnFormula>IFERROR(AVERAGE(QualData[[#This Row],[Trial 1 Tape Score]:[Trial 3 Tape Score]])/4,"")</calculatedColumnFormula>
    </tableColumn>
    <tableColumn id="21" xr3:uid="{05D756AB-7CF1-4683-9550-BEF9C8B55F82}" name="Scratch Overall" dataDxfId="51" dataCellStyle="Percent">
      <calculatedColumnFormula>IFERROR(AVERAGE(QualData[[#This Row],[Trial 1 Scratch Score]:[Trial 3 Scratch Score]])/4,"")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C79431-EDF1-44C3-B177-1C6CA8ECAB87}" name="Table3" displayName="Table3" ref="G4:L8" totalsRowShown="0">
  <autoFilter ref="G4:L8" xr:uid="{E1C79431-EDF1-44C3-B177-1C6CA8ECAB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D2B7BDF-15CF-4EA0-B19B-6714EADBFD29}" name="Column1"/>
    <tableColumn id="2" xr3:uid="{50AF61EB-73EB-4BA7-A7B7-BC3685809065}" name="Lamp"/>
    <tableColumn id="3" xr3:uid="{1D3E5B24-3187-4B97-B2D3-13B726D84089}" name="Radiometer"/>
    <tableColumn id="4" xr3:uid="{7F982CAC-5C18-40C0-A244-C4D4BA054CFD}" name="Type"/>
    <tableColumn id="5" xr3:uid="{E1F78EDA-4A48-4D36-81D1-FE70A6E6B489}" name="DF"/>
    <tableColumn id="6" xr3:uid="{C47BA26D-19F8-443C-AA24-399F243BDB64}" name="PPF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00B0F0"/>
      </a:accent4>
      <a:accent5>
        <a:srgbClr val="002060"/>
      </a:accent5>
      <a:accent6>
        <a:srgbClr val="7030A0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409A7-5178-4BBD-8761-A66603F11FB2}">
  <sheetPr codeName="Sheet1"/>
  <dimension ref="B1:I118"/>
  <sheetViews>
    <sheetView workbookViewId="0">
      <selection activeCell="Q101" sqref="Q101"/>
    </sheetView>
  </sheetViews>
  <sheetFormatPr defaultRowHeight="15" x14ac:dyDescent="0.25"/>
  <cols>
    <col min="3" max="3" width="9.140625" customWidth="1"/>
  </cols>
  <sheetData>
    <row r="1" spans="2:6" x14ac:dyDescent="0.25">
      <c r="B1" t="s">
        <v>73</v>
      </c>
    </row>
    <row r="2" spans="2:6" x14ac:dyDescent="0.25">
      <c r="B2" t="s">
        <v>71</v>
      </c>
      <c r="C2" t="s">
        <v>66</v>
      </c>
      <c r="D2" t="s">
        <v>72</v>
      </c>
      <c r="E2" t="s">
        <v>45</v>
      </c>
      <c r="F2" t="s">
        <v>111</v>
      </c>
    </row>
    <row r="3" spans="2:6" x14ac:dyDescent="0.25">
      <c r="B3">
        <v>1</v>
      </c>
      <c r="C3" s="29"/>
      <c r="D3" s="29"/>
      <c r="E3" s="29"/>
      <c r="F3" s="29"/>
    </row>
    <row r="4" spans="2:6" x14ac:dyDescent="0.25">
      <c r="B4">
        <v>2</v>
      </c>
      <c r="C4" s="29">
        <v>0</v>
      </c>
      <c r="D4" s="29">
        <v>4</v>
      </c>
      <c r="E4" s="29"/>
      <c r="F4" s="29"/>
    </row>
    <row r="5" spans="2:6" x14ac:dyDescent="0.25">
      <c r="B5">
        <v>3</v>
      </c>
      <c r="C5" s="29">
        <v>0</v>
      </c>
      <c r="D5" s="29">
        <v>4</v>
      </c>
      <c r="E5" s="29"/>
      <c r="F5" s="29"/>
    </row>
    <row r="6" spans="2:6" x14ac:dyDescent="0.25">
      <c r="B6">
        <v>4</v>
      </c>
      <c r="C6" s="29">
        <v>0</v>
      </c>
      <c r="D6" s="29">
        <v>4</v>
      </c>
      <c r="E6" s="29"/>
      <c r="F6" s="29"/>
    </row>
    <row r="7" spans="2:6" x14ac:dyDescent="0.25">
      <c r="B7">
        <v>5</v>
      </c>
      <c r="C7" s="29">
        <v>0</v>
      </c>
      <c r="D7" s="29">
        <v>4</v>
      </c>
      <c r="E7" s="29"/>
      <c r="F7" s="29"/>
    </row>
    <row r="8" spans="2:6" x14ac:dyDescent="0.25">
      <c r="B8">
        <v>6</v>
      </c>
      <c r="C8" s="29">
        <v>0</v>
      </c>
      <c r="D8" s="29"/>
      <c r="E8" s="29"/>
      <c r="F8" s="29"/>
    </row>
    <row r="9" spans="2:6" x14ac:dyDescent="0.25">
      <c r="B9">
        <v>7</v>
      </c>
      <c r="C9" s="29">
        <v>0</v>
      </c>
      <c r="D9" s="29"/>
      <c r="E9" s="29"/>
      <c r="F9" s="29"/>
    </row>
    <row r="10" spans="2:6" x14ac:dyDescent="0.25">
      <c r="B10">
        <v>8</v>
      </c>
      <c r="C10" s="29"/>
      <c r="D10" s="29"/>
      <c r="E10" s="29">
        <v>0</v>
      </c>
      <c r="F10" s="29"/>
    </row>
    <row r="11" spans="2:6" x14ac:dyDescent="0.25">
      <c r="B11">
        <v>9</v>
      </c>
      <c r="C11" s="29"/>
      <c r="D11" s="29"/>
      <c r="E11" s="29">
        <v>0</v>
      </c>
      <c r="F11" s="29"/>
    </row>
    <row r="12" spans="2:6" x14ac:dyDescent="0.25">
      <c r="B12">
        <v>10</v>
      </c>
      <c r="C12" s="29">
        <v>4</v>
      </c>
      <c r="D12" s="29">
        <v>4</v>
      </c>
      <c r="E12" s="29"/>
      <c r="F12" s="29"/>
    </row>
    <row r="13" spans="2:6" x14ac:dyDescent="0.25">
      <c r="B13">
        <v>11</v>
      </c>
      <c r="C13" s="29">
        <v>2</v>
      </c>
      <c r="D13" s="29">
        <v>2</v>
      </c>
      <c r="E13" s="29"/>
      <c r="F13" s="29"/>
    </row>
    <row r="14" spans="2:6" x14ac:dyDescent="0.25">
      <c r="B14">
        <v>12</v>
      </c>
      <c r="C14" s="29"/>
      <c r="D14" s="29">
        <v>4</v>
      </c>
      <c r="E14" s="29">
        <v>4</v>
      </c>
      <c r="F14" s="29"/>
    </row>
    <row r="15" spans="2:6" x14ac:dyDescent="0.25">
      <c r="B15">
        <v>13</v>
      </c>
      <c r="C15" s="29"/>
      <c r="D15" s="29">
        <v>0</v>
      </c>
      <c r="E15" s="29">
        <v>4</v>
      </c>
      <c r="F15" s="29"/>
    </row>
    <row r="16" spans="2:6" x14ac:dyDescent="0.25">
      <c r="B16">
        <v>14</v>
      </c>
      <c r="C16" s="29">
        <v>2</v>
      </c>
      <c r="D16" s="29">
        <v>4</v>
      </c>
      <c r="E16" s="29"/>
      <c r="F16" s="29"/>
    </row>
    <row r="17" spans="2:6" x14ac:dyDescent="0.25">
      <c r="B17">
        <v>15</v>
      </c>
      <c r="C17" s="29">
        <v>2</v>
      </c>
      <c r="D17" s="29">
        <v>4</v>
      </c>
      <c r="E17" s="29"/>
      <c r="F17" s="29"/>
    </row>
    <row r="18" spans="2:6" x14ac:dyDescent="0.25">
      <c r="B18">
        <v>16</v>
      </c>
      <c r="C18" s="29">
        <v>4</v>
      </c>
      <c r="D18" s="29">
        <v>4</v>
      </c>
      <c r="E18" s="29"/>
      <c r="F18" s="29"/>
    </row>
    <row r="19" spans="2:6" x14ac:dyDescent="0.25">
      <c r="B19">
        <v>17</v>
      </c>
      <c r="C19" s="29"/>
      <c r="D19" s="29">
        <v>4</v>
      </c>
      <c r="E19" s="29">
        <v>4</v>
      </c>
      <c r="F19" s="29"/>
    </row>
    <row r="20" spans="2:6" x14ac:dyDescent="0.25">
      <c r="B20">
        <v>18</v>
      </c>
      <c r="C20" s="29"/>
      <c r="D20" s="29">
        <v>4</v>
      </c>
      <c r="E20" s="29">
        <v>4</v>
      </c>
      <c r="F20" s="29"/>
    </row>
    <row r="21" spans="2:6" x14ac:dyDescent="0.25">
      <c r="B21">
        <v>19</v>
      </c>
      <c r="C21" s="29"/>
      <c r="D21" s="29">
        <v>2</v>
      </c>
      <c r="E21" s="29">
        <v>4</v>
      </c>
      <c r="F21" s="29"/>
    </row>
    <row r="22" spans="2:6" x14ac:dyDescent="0.25">
      <c r="B22">
        <v>20</v>
      </c>
      <c r="C22" s="29">
        <v>0</v>
      </c>
      <c r="D22" s="29">
        <v>4</v>
      </c>
      <c r="E22" s="29"/>
      <c r="F22" s="29"/>
    </row>
    <row r="23" spans="2:6" x14ac:dyDescent="0.25">
      <c r="B23">
        <v>21</v>
      </c>
      <c r="C23" s="29">
        <v>0</v>
      </c>
      <c r="D23" s="29">
        <v>0</v>
      </c>
      <c r="E23" s="29"/>
      <c r="F23" s="29"/>
    </row>
    <row r="24" spans="2:6" x14ac:dyDescent="0.25">
      <c r="B24">
        <v>22</v>
      </c>
      <c r="C24" s="29"/>
      <c r="D24" s="29">
        <v>4</v>
      </c>
      <c r="E24" s="29">
        <v>4</v>
      </c>
      <c r="F24" s="29"/>
    </row>
    <row r="25" spans="2:6" x14ac:dyDescent="0.25">
      <c r="B25">
        <v>23</v>
      </c>
      <c r="C25" s="29"/>
      <c r="D25" s="29">
        <v>0</v>
      </c>
      <c r="E25" s="29">
        <v>4</v>
      </c>
      <c r="F25" s="29"/>
    </row>
    <row r="26" spans="2:6" x14ac:dyDescent="0.25">
      <c r="B26">
        <v>24</v>
      </c>
      <c r="C26" s="29">
        <v>1</v>
      </c>
      <c r="D26" s="29">
        <v>4</v>
      </c>
      <c r="E26" s="29"/>
      <c r="F26" s="29"/>
    </row>
    <row r="27" spans="2:6" x14ac:dyDescent="0.25">
      <c r="B27">
        <v>25</v>
      </c>
      <c r="C27" s="29">
        <v>1</v>
      </c>
      <c r="D27" s="29">
        <v>2</v>
      </c>
      <c r="E27" s="29"/>
      <c r="F27" s="29"/>
    </row>
    <row r="28" spans="2:6" x14ac:dyDescent="0.25">
      <c r="B28">
        <v>26</v>
      </c>
      <c r="C28" s="29">
        <v>3</v>
      </c>
      <c r="D28" s="29">
        <v>4</v>
      </c>
      <c r="E28" s="29"/>
      <c r="F28" s="29"/>
    </row>
    <row r="29" spans="2:6" x14ac:dyDescent="0.25">
      <c r="B29">
        <v>27</v>
      </c>
      <c r="C29" s="29">
        <v>0</v>
      </c>
      <c r="D29" s="29">
        <v>4</v>
      </c>
      <c r="E29" s="29"/>
      <c r="F29" s="29"/>
    </row>
    <row r="30" spans="2:6" x14ac:dyDescent="0.25">
      <c r="B30">
        <v>28</v>
      </c>
      <c r="C30" s="29">
        <v>1.5</v>
      </c>
      <c r="D30" s="29">
        <v>4</v>
      </c>
      <c r="E30" s="29"/>
      <c r="F30" s="29"/>
    </row>
    <row r="31" spans="2:6" x14ac:dyDescent="0.25">
      <c r="B31">
        <v>29</v>
      </c>
      <c r="C31" s="29">
        <v>3</v>
      </c>
      <c r="D31" s="29">
        <v>3</v>
      </c>
      <c r="E31" s="29"/>
      <c r="F31" s="29"/>
    </row>
    <row r="32" spans="2:6" x14ac:dyDescent="0.25">
      <c r="B32">
        <v>30</v>
      </c>
      <c r="C32" s="29">
        <v>0</v>
      </c>
      <c r="D32" s="29">
        <v>0</v>
      </c>
      <c r="E32" s="29"/>
      <c r="F32" s="29"/>
    </row>
    <row r="33" spans="2:6" x14ac:dyDescent="0.25">
      <c r="B33">
        <v>31</v>
      </c>
      <c r="C33" s="29">
        <v>1</v>
      </c>
      <c r="D33" s="29">
        <v>1</v>
      </c>
      <c r="E33" s="29"/>
      <c r="F33" s="29"/>
    </row>
    <row r="34" spans="2:6" x14ac:dyDescent="0.25">
      <c r="B34">
        <v>32</v>
      </c>
      <c r="C34" s="29">
        <v>2</v>
      </c>
      <c r="D34" s="29">
        <v>3</v>
      </c>
      <c r="E34" s="29"/>
      <c r="F34" s="29"/>
    </row>
    <row r="35" spans="2:6" x14ac:dyDescent="0.25">
      <c r="B35">
        <v>33</v>
      </c>
      <c r="C35" s="29">
        <v>1</v>
      </c>
      <c r="D35" s="29">
        <v>0</v>
      </c>
      <c r="E35" s="29"/>
      <c r="F35" s="29"/>
    </row>
    <row r="36" spans="2:6" x14ac:dyDescent="0.25">
      <c r="B36">
        <v>34</v>
      </c>
      <c r="C36" s="29">
        <v>1.5</v>
      </c>
      <c r="D36" s="29">
        <v>0</v>
      </c>
      <c r="E36" s="29"/>
      <c r="F36" s="29"/>
    </row>
    <row r="37" spans="2:6" x14ac:dyDescent="0.25">
      <c r="B37">
        <v>35</v>
      </c>
      <c r="C37" s="29">
        <v>0.5</v>
      </c>
      <c r="D37" s="29">
        <v>4</v>
      </c>
      <c r="E37" s="29"/>
      <c r="F37" s="29"/>
    </row>
    <row r="38" spans="2:6" x14ac:dyDescent="0.25">
      <c r="B38">
        <v>36</v>
      </c>
      <c r="C38" s="29">
        <v>2</v>
      </c>
      <c r="D38" s="29">
        <v>4</v>
      </c>
      <c r="E38" s="29"/>
      <c r="F38" s="29"/>
    </row>
    <row r="39" spans="2:6" x14ac:dyDescent="0.25">
      <c r="B39">
        <v>37</v>
      </c>
      <c r="C39" s="29">
        <v>3</v>
      </c>
      <c r="D39" s="29">
        <v>4</v>
      </c>
      <c r="E39" s="29"/>
      <c r="F39" s="29"/>
    </row>
    <row r="40" spans="2:6" x14ac:dyDescent="0.25">
      <c r="B40">
        <v>38</v>
      </c>
      <c r="C40" s="29">
        <v>0.5</v>
      </c>
      <c r="D40" s="29">
        <v>4</v>
      </c>
      <c r="E40" s="29"/>
      <c r="F40" s="29"/>
    </row>
    <row r="41" spans="2:6" x14ac:dyDescent="0.25">
      <c r="B41">
        <v>39</v>
      </c>
      <c r="C41" s="29">
        <v>1.5</v>
      </c>
      <c r="D41" s="29">
        <v>4</v>
      </c>
      <c r="E41" s="29"/>
      <c r="F41" s="29"/>
    </row>
    <row r="42" spans="2:6" x14ac:dyDescent="0.25">
      <c r="B42">
        <v>40</v>
      </c>
      <c r="C42" s="29">
        <v>3</v>
      </c>
      <c r="D42" s="29">
        <v>3</v>
      </c>
      <c r="E42" s="29"/>
      <c r="F42" s="29"/>
    </row>
    <row r="43" spans="2:6" x14ac:dyDescent="0.25">
      <c r="B43">
        <v>41</v>
      </c>
      <c r="C43" s="29">
        <v>0</v>
      </c>
      <c r="D43" s="29">
        <v>0</v>
      </c>
      <c r="E43" s="29"/>
      <c r="F43" s="29"/>
    </row>
    <row r="44" spans="2:6" x14ac:dyDescent="0.25">
      <c r="B44">
        <v>42</v>
      </c>
      <c r="C44" s="29">
        <v>2</v>
      </c>
      <c r="D44" s="29">
        <v>4</v>
      </c>
      <c r="E44" s="29"/>
      <c r="F44" s="29"/>
    </row>
    <row r="45" spans="2:6" x14ac:dyDescent="0.25">
      <c r="B45">
        <v>43</v>
      </c>
      <c r="C45" s="29">
        <v>2.5</v>
      </c>
      <c r="D45" s="29">
        <v>4</v>
      </c>
      <c r="E45" s="29"/>
      <c r="F45" s="29"/>
    </row>
    <row r="46" spans="2:6" x14ac:dyDescent="0.25">
      <c r="B46">
        <v>44</v>
      </c>
      <c r="C46" s="29">
        <v>1</v>
      </c>
      <c r="D46" s="29">
        <v>0</v>
      </c>
      <c r="E46" s="29"/>
      <c r="F46" s="29"/>
    </row>
    <row r="47" spans="2:6" x14ac:dyDescent="0.25">
      <c r="B47">
        <v>45</v>
      </c>
      <c r="C47" s="29">
        <v>1</v>
      </c>
      <c r="D47" s="29">
        <v>1</v>
      </c>
      <c r="E47" s="29"/>
      <c r="F47" s="29"/>
    </row>
    <row r="48" spans="2:6" x14ac:dyDescent="0.25">
      <c r="B48">
        <v>46</v>
      </c>
      <c r="C48" s="29">
        <v>2</v>
      </c>
      <c r="D48" s="29">
        <v>4</v>
      </c>
      <c r="E48" s="29"/>
      <c r="F48" s="29"/>
    </row>
    <row r="49" spans="2:6" x14ac:dyDescent="0.25">
      <c r="B49" s="47">
        <v>47</v>
      </c>
      <c r="C49" s="29">
        <v>2</v>
      </c>
      <c r="D49" s="29">
        <v>4</v>
      </c>
      <c r="E49" s="29"/>
      <c r="F49" s="29">
        <v>4</v>
      </c>
    </row>
    <row r="50" spans="2:6" x14ac:dyDescent="0.25">
      <c r="B50">
        <v>48</v>
      </c>
      <c r="C50" s="29">
        <v>1</v>
      </c>
      <c r="D50" s="29">
        <v>4</v>
      </c>
      <c r="E50" s="29"/>
      <c r="F50" s="29">
        <v>4</v>
      </c>
    </row>
    <row r="51" spans="2:6" x14ac:dyDescent="0.25">
      <c r="B51">
        <v>49</v>
      </c>
      <c r="C51" s="29">
        <v>3</v>
      </c>
      <c r="D51" s="29">
        <v>4</v>
      </c>
      <c r="E51" s="29"/>
      <c r="F51" s="29">
        <v>4</v>
      </c>
    </row>
    <row r="52" spans="2:6" x14ac:dyDescent="0.25">
      <c r="B52">
        <v>50</v>
      </c>
      <c r="C52" s="29">
        <v>4</v>
      </c>
      <c r="D52" s="29">
        <v>4</v>
      </c>
      <c r="E52" s="29"/>
      <c r="F52" s="29">
        <v>4</v>
      </c>
    </row>
    <row r="53" spans="2:6" x14ac:dyDescent="0.25">
      <c r="B53">
        <v>51</v>
      </c>
      <c r="C53" s="29">
        <v>3</v>
      </c>
      <c r="D53" s="29">
        <v>4</v>
      </c>
      <c r="E53" s="29"/>
      <c r="F53" s="29">
        <v>4</v>
      </c>
    </row>
    <row r="54" spans="2:6" x14ac:dyDescent="0.25">
      <c r="B54">
        <v>52</v>
      </c>
      <c r="C54" s="29">
        <v>1</v>
      </c>
      <c r="D54" s="29">
        <v>4</v>
      </c>
      <c r="E54" s="29"/>
      <c r="F54" s="29">
        <v>4</v>
      </c>
    </row>
    <row r="55" spans="2:6" x14ac:dyDescent="0.25">
      <c r="B55">
        <v>53</v>
      </c>
      <c r="C55" s="29">
        <v>1</v>
      </c>
      <c r="D55" s="29">
        <v>4</v>
      </c>
      <c r="E55" s="29"/>
      <c r="F55" s="29">
        <v>4</v>
      </c>
    </row>
    <row r="56" spans="2:6" x14ac:dyDescent="0.25">
      <c r="B56">
        <v>54</v>
      </c>
      <c r="C56" s="29">
        <v>2</v>
      </c>
      <c r="D56" s="29">
        <v>4</v>
      </c>
      <c r="E56" s="29"/>
      <c r="F56" s="29">
        <v>4</v>
      </c>
    </row>
    <row r="57" spans="2:6" x14ac:dyDescent="0.25">
      <c r="B57">
        <v>55</v>
      </c>
      <c r="C57" s="29">
        <v>3</v>
      </c>
      <c r="D57" s="29">
        <v>4</v>
      </c>
      <c r="E57" s="29"/>
      <c r="F57" s="29">
        <v>4</v>
      </c>
    </row>
    <row r="58" spans="2:6" x14ac:dyDescent="0.25">
      <c r="B58">
        <v>56</v>
      </c>
      <c r="C58" s="29">
        <v>2</v>
      </c>
      <c r="D58" s="29">
        <v>4</v>
      </c>
      <c r="E58" s="29"/>
      <c r="F58" s="29">
        <v>4</v>
      </c>
    </row>
    <row r="59" spans="2:6" x14ac:dyDescent="0.25">
      <c r="B59">
        <v>57</v>
      </c>
      <c r="C59" s="29">
        <v>2</v>
      </c>
      <c r="D59" s="29">
        <v>4</v>
      </c>
      <c r="E59" s="29"/>
      <c r="F59" s="29">
        <v>4</v>
      </c>
    </row>
    <row r="60" spans="2:6" x14ac:dyDescent="0.25">
      <c r="B60">
        <v>58</v>
      </c>
      <c r="C60" s="29">
        <v>2</v>
      </c>
      <c r="D60" s="29">
        <v>4</v>
      </c>
      <c r="E60" s="29"/>
      <c r="F60" s="29">
        <v>4</v>
      </c>
    </row>
    <row r="61" spans="2:6" x14ac:dyDescent="0.25">
      <c r="B61">
        <v>59</v>
      </c>
      <c r="C61" s="29">
        <v>3</v>
      </c>
      <c r="D61" s="29">
        <v>4</v>
      </c>
      <c r="E61" s="29"/>
      <c r="F61" s="29">
        <v>4</v>
      </c>
    </row>
    <row r="62" spans="2:6" x14ac:dyDescent="0.25">
      <c r="B62">
        <v>60</v>
      </c>
      <c r="C62" s="29">
        <v>3</v>
      </c>
      <c r="D62" s="29">
        <v>4</v>
      </c>
      <c r="E62" s="29"/>
      <c r="F62" s="29">
        <v>4</v>
      </c>
    </row>
    <row r="63" spans="2:6" x14ac:dyDescent="0.25">
      <c r="B63">
        <v>61</v>
      </c>
      <c r="C63" s="29">
        <v>4</v>
      </c>
      <c r="D63" s="29">
        <v>4</v>
      </c>
      <c r="E63" s="29"/>
      <c r="F63" s="29">
        <v>4</v>
      </c>
    </row>
    <row r="64" spans="2:6" x14ac:dyDescent="0.25">
      <c r="B64">
        <v>62</v>
      </c>
      <c r="C64" s="29">
        <v>1</v>
      </c>
      <c r="D64" s="29">
        <v>4</v>
      </c>
      <c r="E64" s="29"/>
      <c r="F64" s="29">
        <v>4</v>
      </c>
    </row>
    <row r="65" spans="2:6" x14ac:dyDescent="0.25">
      <c r="B65">
        <v>63</v>
      </c>
      <c r="C65" s="29">
        <v>1</v>
      </c>
      <c r="D65" s="29">
        <v>4</v>
      </c>
      <c r="E65" s="29"/>
      <c r="F65" s="29">
        <v>4</v>
      </c>
    </row>
    <row r="66" spans="2:6" x14ac:dyDescent="0.25">
      <c r="B66">
        <v>64</v>
      </c>
      <c r="C66" s="29">
        <v>2</v>
      </c>
      <c r="D66" s="29">
        <v>4</v>
      </c>
      <c r="E66" s="29"/>
      <c r="F66" s="29">
        <v>4</v>
      </c>
    </row>
    <row r="67" spans="2:6" x14ac:dyDescent="0.25">
      <c r="B67">
        <v>65</v>
      </c>
      <c r="C67" s="29">
        <v>3</v>
      </c>
      <c r="D67" s="29">
        <v>4</v>
      </c>
      <c r="E67" s="29"/>
      <c r="F67" s="29">
        <v>4</v>
      </c>
    </row>
    <row r="68" spans="2:6" x14ac:dyDescent="0.25">
      <c r="B68">
        <v>66</v>
      </c>
      <c r="C68" s="29">
        <v>3</v>
      </c>
      <c r="D68" s="29">
        <v>4</v>
      </c>
      <c r="E68" s="29"/>
      <c r="F68" s="29">
        <v>4</v>
      </c>
    </row>
    <row r="69" spans="2:6" x14ac:dyDescent="0.25">
      <c r="B69">
        <v>67</v>
      </c>
      <c r="C69" s="29">
        <v>3</v>
      </c>
      <c r="D69" s="29">
        <v>4</v>
      </c>
      <c r="E69" s="29"/>
      <c r="F69" s="29">
        <v>4</v>
      </c>
    </row>
    <row r="70" spans="2:6" x14ac:dyDescent="0.25">
      <c r="B70">
        <v>68</v>
      </c>
      <c r="C70" s="29">
        <v>1</v>
      </c>
      <c r="D70" s="29">
        <v>4</v>
      </c>
      <c r="E70" s="29"/>
      <c r="F70" s="29">
        <v>4</v>
      </c>
    </row>
    <row r="71" spans="2:6" x14ac:dyDescent="0.25">
      <c r="B71">
        <v>69</v>
      </c>
      <c r="C71" s="29">
        <v>2</v>
      </c>
      <c r="D71" s="29">
        <v>4</v>
      </c>
      <c r="E71" s="29"/>
      <c r="F71" s="29">
        <v>4</v>
      </c>
    </row>
    <row r="72" spans="2:6" x14ac:dyDescent="0.25">
      <c r="B72">
        <v>70</v>
      </c>
      <c r="C72" s="29">
        <v>2</v>
      </c>
      <c r="D72" s="29">
        <v>4</v>
      </c>
      <c r="E72" s="29"/>
      <c r="F72" s="29">
        <v>4</v>
      </c>
    </row>
    <row r="73" spans="2:6" x14ac:dyDescent="0.25">
      <c r="B73">
        <v>71</v>
      </c>
      <c r="C73" s="29">
        <v>3</v>
      </c>
      <c r="D73" s="29">
        <v>4</v>
      </c>
      <c r="E73" s="29"/>
      <c r="F73" s="29">
        <v>4</v>
      </c>
    </row>
    <row r="74" spans="2:6" x14ac:dyDescent="0.25">
      <c r="B74">
        <v>72</v>
      </c>
      <c r="C74" s="29">
        <v>0</v>
      </c>
      <c r="D74" s="29">
        <v>4</v>
      </c>
      <c r="E74" s="29"/>
      <c r="F74" s="29">
        <v>4</v>
      </c>
    </row>
    <row r="75" spans="2:6" x14ac:dyDescent="0.25">
      <c r="B75">
        <v>73</v>
      </c>
      <c r="C75" s="29">
        <v>1</v>
      </c>
      <c r="D75" s="29">
        <v>2</v>
      </c>
      <c r="E75" s="29"/>
      <c r="F75" s="29">
        <v>4</v>
      </c>
    </row>
    <row r="76" spans="2:6" x14ac:dyDescent="0.25">
      <c r="B76">
        <v>74</v>
      </c>
      <c r="C76" s="29">
        <v>2</v>
      </c>
      <c r="D76" s="29">
        <v>4</v>
      </c>
      <c r="E76" s="29"/>
      <c r="F76" s="29">
        <v>4</v>
      </c>
    </row>
    <row r="77" spans="2:6" x14ac:dyDescent="0.25">
      <c r="B77">
        <v>75</v>
      </c>
      <c r="C77" s="29">
        <v>2</v>
      </c>
      <c r="D77" s="29">
        <v>4</v>
      </c>
      <c r="E77" s="29"/>
      <c r="F77" s="29">
        <v>4</v>
      </c>
    </row>
    <row r="78" spans="2:6" x14ac:dyDescent="0.25">
      <c r="B78">
        <v>76</v>
      </c>
      <c r="C78" s="29">
        <v>3</v>
      </c>
      <c r="D78" s="29">
        <v>4</v>
      </c>
      <c r="E78" s="29"/>
      <c r="F78" s="29">
        <v>4</v>
      </c>
    </row>
    <row r="79" spans="2:6" x14ac:dyDescent="0.25">
      <c r="B79">
        <v>77</v>
      </c>
      <c r="C79" s="29">
        <v>0</v>
      </c>
      <c r="D79" s="29">
        <v>2</v>
      </c>
      <c r="E79" s="29"/>
      <c r="F79" s="29">
        <v>0</v>
      </c>
    </row>
    <row r="80" spans="2:6" x14ac:dyDescent="0.25">
      <c r="B80">
        <v>78</v>
      </c>
      <c r="C80" s="29">
        <v>1</v>
      </c>
      <c r="D80" s="29">
        <v>4</v>
      </c>
      <c r="E80" s="29"/>
      <c r="F80" s="29">
        <v>4</v>
      </c>
    </row>
    <row r="81" spans="2:6" x14ac:dyDescent="0.25">
      <c r="B81">
        <v>79</v>
      </c>
      <c r="C81" s="29">
        <v>2</v>
      </c>
      <c r="D81" s="29">
        <v>4</v>
      </c>
      <c r="E81" s="29"/>
      <c r="F81" s="29">
        <v>4</v>
      </c>
    </row>
    <row r="82" spans="2:6" x14ac:dyDescent="0.25">
      <c r="B82">
        <v>80</v>
      </c>
      <c r="C82" s="29">
        <v>1</v>
      </c>
      <c r="D82" s="29">
        <v>4</v>
      </c>
      <c r="E82" s="29"/>
      <c r="F82" s="29">
        <v>4</v>
      </c>
    </row>
    <row r="83" spans="2:6" x14ac:dyDescent="0.25">
      <c r="B83">
        <v>81</v>
      </c>
      <c r="C83" s="29">
        <v>3</v>
      </c>
      <c r="D83" s="29">
        <v>4</v>
      </c>
      <c r="E83" s="29"/>
      <c r="F83" s="29">
        <v>4</v>
      </c>
    </row>
    <row r="84" spans="2:6" x14ac:dyDescent="0.25">
      <c r="B84">
        <v>82</v>
      </c>
      <c r="C84" s="29">
        <v>0</v>
      </c>
      <c r="D84" s="29">
        <v>4</v>
      </c>
      <c r="E84" s="29"/>
      <c r="F84" s="29">
        <v>4</v>
      </c>
    </row>
    <row r="85" spans="2:6" x14ac:dyDescent="0.25">
      <c r="B85">
        <v>83</v>
      </c>
      <c r="C85" s="29">
        <v>1</v>
      </c>
      <c r="D85" s="29">
        <v>4</v>
      </c>
      <c r="E85" s="29"/>
      <c r="F85" s="29">
        <v>4</v>
      </c>
    </row>
    <row r="86" spans="2:6" x14ac:dyDescent="0.25">
      <c r="B86">
        <v>84</v>
      </c>
      <c r="C86" s="29">
        <v>2</v>
      </c>
      <c r="D86" s="29">
        <v>4</v>
      </c>
      <c r="E86" s="29"/>
      <c r="F86" s="29">
        <v>4</v>
      </c>
    </row>
    <row r="87" spans="2:6" x14ac:dyDescent="0.25">
      <c r="B87">
        <v>85</v>
      </c>
      <c r="C87" s="29">
        <v>2</v>
      </c>
      <c r="D87" s="29">
        <v>4</v>
      </c>
      <c r="E87" s="29"/>
      <c r="F87" s="29">
        <v>4</v>
      </c>
    </row>
    <row r="88" spans="2:6" x14ac:dyDescent="0.25">
      <c r="B88">
        <v>86</v>
      </c>
      <c r="C88" s="29">
        <v>2</v>
      </c>
      <c r="D88" s="29">
        <v>4</v>
      </c>
      <c r="E88" s="29"/>
      <c r="F88" s="29">
        <v>4</v>
      </c>
    </row>
    <row r="89" spans="2:6" x14ac:dyDescent="0.25">
      <c r="B89">
        <v>87</v>
      </c>
      <c r="C89" s="29">
        <v>3</v>
      </c>
      <c r="D89" s="29">
        <v>4</v>
      </c>
      <c r="E89" s="29"/>
      <c r="F89" s="29">
        <v>4</v>
      </c>
    </row>
    <row r="90" spans="2:6" x14ac:dyDescent="0.25">
      <c r="B90">
        <v>88</v>
      </c>
      <c r="C90" s="29">
        <v>3</v>
      </c>
      <c r="D90" s="29">
        <v>4</v>
      </c>
      <c r="E90" s="29"/>
      <c r="F90" s="29">
        <v>4</v>
      </c>
    </row>
    <row r="91" spans="2:6" x14ac:dyDescent="0.25">
      <c r="B91">
        <v>89</v>
      </c>
      <c r="C91" s="29">
        <v>4</v>
      </c>
      <c r="D91" s="29">
        <v>4</v>
      </c>
      <c r="E91" s="29"/>
      <c r="F91" s="29">
        <v>4</v>
      </c>
    </row>
    <row r="92" spans="2:6" x14ac:dyDescent="0.25">
      <c r="B92">
        <v>90</v>
      </c>
      <c r="C92" s="29"/>
      <c r="D92" s="29"/>
      <c r="E92" s="29"/>
      <c r="F92" s="29"/>
    </row>
    <row r="93" spans="2:6" x14ac:dyDescent="0.25">
      <c r="B93">
        <v>91</v>
      </c>
      <c r="C93" s="29">
        <v>1</v>
      </c>
      <c r="D93" s="29">
        <v>4</v>
      </c>
      <c r="E93" s="29"/>
      <c r="F93" s="29">
        <v>4</v>
      </c>
    </row>
    <row r="94" spans="2:6" x14ac:dyDescent="0.25">
      <c r="B94">
        <v>92</v>
      </c>
      <c r="C94" s="29">
        <v>2</v>
      </c>
      <c r="D94" s="29">
        <v>4</v>
      </c>
      <c r="E94" s="29"/>
      <c r="F94" s="29">
        <v>4</v>
      </c>
    </row>
    <row r="95" spans="2:6" x14ac:dyDescent="0.25">
      <c r="B95">
        <v>93</v>
      </c>
      <c r="C95" s="29">
        <v>3</v>
      </c>
      <c r="D95" s="29">
        <v>4</v>
      </c>
      <c r="E95" s="29"/>
      <c r="F95" s="29">
        <v>4</v>
      </c>
    </row>
    <row r="96" spans="2:6" x14ac:dyDescent="0.25">
      <c r="B96">
        <v>94</v>
      </c>
      <c r="C96" s="29">
        <v>0</v>
      </c>
      <c r="D96" s="29">
        <v>2</v>
      </c>
      <c r="E96" s="29"/>
      <c r="F96" s="29">
        <v>0</v>
      </c>
    </row>
    <row r="97" spans="2:9" x14ac:dyDescent="0.25">
      <c r="B97">
        <v>95</v>
      </c>
      <c r="C97" s="29">
        <v>1</v>
      </c>
      <c r="D97" s="29">
        <v>4</v>
      </c>
      <c r="E97" s="29"/>
      <c r="F97" s="29">
        <v>4</v>
      </c>
      <c r="I97" t="s">
        <v>97</v>
      </c>
    </row>
    <row r="98" spans="2:9" x14ac:dyDescent="0.25">
      <c r="B98">
        <v>96</v>
      </c>
      <c r="C98" s="29">
        <v>1</v>
      </c>
      <c r="D98" s="29">
        <v>4</v>
      </c>
      <c r="E98" s="29"/>
      <c r="F98" s="29">
        <v>4</v>
      </c>
      <c r="I98" t="s">
        <v>98</v>
      </c>
    </row>
    <row r="99" spans="2:9" x14ac:dyDescent="0.25">
      <c r="B99">
        <v>97</v>
      </c>
      <c r="C99" s="29">
        <v>2</v>
      </c>
      <c r="D99" s="29">
        <v>4</v>
      </c>
      <c r="E99" s="29"/>
      <c r="F99" s="29">
        <v>4</v>
      </c>
      <c r="I99" t="s">
        <v>92</v>
      </c>
    </row>
    <row r="100" spans="2:9" x14ac:dyDescent="0.25">
      <c r="B100">
        <v>98</v>
      </c>
      <c r="C100" s="29">
        <v>2</v>
      </c>
      <c r="D100" s="29">
        <v>4</v>
      </c>
      <c r="E100" s="29"/>
      <c r="F100" s="29">
        <v>4</v>
      </c>
      <c r="I100" t="s">
        <v>93</v>
      </c>
    </row>
    <row r="101" spans="2:9" x14ac:dyDescent="0.25">
      <c r="B101">
        <v>99</v>
      </c>
      <c r="C101" s="29">
        <v>0</v>
      </c>
      <c r="D101" s="29">
        <v>0</v>
      </c>
      <c r="E101" s="29"/>
      <c r="F101" s="29">
        <v>0</v>
      </c>
      <c r="I101" t="s">
        <v>94</v>
      </c>
    </row>
    <row r="102" spans="2:9" x14ac:dyDescent="0.25">
      <c r="B102">
        <v>100</v>
      </c>
      <c r="C102" s="29">
        <v>1</v>
      </c>
      <c r="D102" s="29">
        <v>1</v>
      </c>
      <c r="E102" s="29"/>
      <c r="F102" s="29">
        <v>0</v>
      </c>
      <c r="I102" t="s">
        <v>95</v>
      </c>
    </row>
    <row r="103" spans="2:9" x14ac:dyDescent="0.25">
      <c r="B103">
        <v>101</v>
      </c>
      <c r="C103" s="29">
        <v>2</v>
      </c>
      <c r="D103" s="29">
        <v>4</v>
      </c>
      <c r="E103" s="29"/>
      <c r="F103" s="29">
        <v>4</v>
      </c>
      <c r="I103" t="s">
        <v>96</v>
      </c>
    </row>
    <row r="104" spans="2:9" x14ac:dyDescent="0.25">
      <c r="B104">
        <v>102</v>
      </c>
      <c r="C104" s="29">
        <v>3</v>
      </c>
      <c r="D104" s="29">
        <v>4</v>
      </c>
      <c r="E104" s="29"/>
      <c r="F104" s="29">
        <v>4</v>
      </c>
    </row>
    <row r="105" spans="2:9" x14ac:dyDescent="0.25">
      <c r="B105">
        <v>103</v>
      </c>
      <c r="C105" s="29">
        <v>3</v>
      </c>
      <c r="D105" s="29">
        <v>4</v>
      </c>
      <c r="E105" s="29"/>
      <c r="F105" s="29">
        <v>4</v>
      </c>
    </row>
    <row r="106" spans="2:9" x14ac:dyDescent="0.25">
      <c r="B106">
        <v>104</v>
      </c>
      <c r="C106" s="29"/>
      <c r="D106" s="29"/>
      <c r="E106" s="29"/>
      <c r="F106" s="29"/>
      <c r="I106" t="s">
        <v>102</v>
      </c>
    </row>
    <row r="107" spans="2:9" x14ac:dyDescent="0.25">
      <c r="B107">
        <v>105</v>
      </c>
      <c r="C107" s="29">
        <v>2</v>
      </c>
      <c r="D107" s="29">
        <v>4</v>
      </c>
      <c r="E107" s="29"/>
      <c r="F107" s="29">
        <v>4</v>
      </c>
      <c r="I107" t="s">
        <v>100</v>
      </c>
    </row>
    <row r="108" spans="2:9" x14ac:dyDescent="0.25">
      <c r="B108">
        <v>106</v>
      </c>
      <c r="C108" s="29">
        <v>3</v>
      </c>
      <c r="D108" s="29">
        <v>4</v>
      </c>
      <c r="E108" s="29"/>
      <c r="F108" s="29">
        <v>4</v>
      </c>
      <c r="I108" t="s">
        <v>103</v>
      </c>
    </row>
    <row r="109" spans="2:9" x14ac:dyDescent="0.25">
      <c r="B109">
        <v>107</v>
      </c>
      <c r="C109" s="29">
        <v>3</v>
      </c>
      <c r="D109" s="29">
        <v>4</v>
      </c>
      <c r="E109" s="29"/>
      <c r="F109" s="29">
        <v>4</v>
      </c>
      <c r="I109" t="s">
        <v>104</v>
      </c>
    </row>
    <row r="110" spans="2:9" x14ac:dyDescent="0.25">
      <c r="B110">
        <v>108</v>
      </c>
      <c r="C110" s="29">
        <v>0</v>
      </c>
      <c r="D110" s="29">
        <v>4</v>
      </c>
      <c r="E110" s="29"/>
      <c r="F110" s="29">
        <v>4</v>
      </c>
      <c r="I110" t="s">
        <v>101</v>
      </c>
    </row>
    <row r="111" spans="2:9" x14ac:dyDescent="0.25">
      <c r="B111">
        <v>109</v>
      </c>
      <c r="C111" s="29">
        <v>1</v>
      </c>
      <c r="D111" s="29">
        <v>4</v>
      </c>
      <c r="E111" s="29"/>
      <c r="F111" s="29">
        <v>4</v>
      </c>
    </row>
    <row r="112" spans="2:9" x14ac:dyDescent="0.25">
      <c r="B112">
        <v>110</v>
      </c>
      <c r="C112" s="29">
        <v>2</v>
      </c>
      <c r="D112" s="29">
        <v>4</v>
      </c>
      <c r="E112" s="29"/>
      <c r="F112" s="29">
        <v>4</v>
      </c>
    </row>
    <row r="113" spans="2:6" x14ac:dyDescent="0.25">
      <c r="B113">
        <v>111</v>
      </c>
      <c r="C113" s="29">
        <v>2</v>
      </c>
      <c r="D113" s="29">
        <v>4</v>
      </c>
      <c r="E113" s="29"/>
      <c r="F113" s="29">
        <v>4</v>
      </c>
    </row>
    <row r="114" spans="2:6" x14ac:dyDescent="0.25">
      <c r="B114">
        <v>112</v>
      </c>
      <c r="C114" s="29">
        <v>3</v>
      </c>
      <c r="D114" s="29">
        <v>4</v>
      </c>
      <c r="E114" s="29"/>
      <c r="F114" s="29">
        <v>4</v>
      </c>
    </row>
    <row r="115" spans="2:6" x14ac:dyDescent="0.25">
      <c r="B115">
        <v>113</v>
      </c>
      <c r="C115" s="29">
        <v>0</v>
      </c>
      <c r="D115" s="29">
        <v>0</v>
      </c>
      <c r="E115" s="29"/>
      <c r="F115" s="29">
        <v>0</v>
      </c>
    </row>
    <row r="116" spans="2:6" x14ac:dyDescent="0.25">
      <c r="B116">
        <v>114</v>
      </c>
      <c r="C116" s="29">
        <v>2</v>
      </c>
      <c r="D116" s="29">
        <v>4</v>
      </c>
      <c r="E116" s="29"/>
      <c r="F116" s="29">
        <v>4</v>
      </c>
    </row>
    <row r="117" spans="2:6" x14ac:dyDescent="0.25">
      <c r="B117">
        <v>115</v>
      </c>
      <c r="C117" s="29">
        <v>1</v>
      </c>
      <c r="D117" s="29">
        <v>4</v>
      </c>
      <c r="E117" s="29"/>
      <c r="F117" s="29">
        <v>4</v>
      </c>
    </row>
    <row r="118" spans="2:6" x14ac:dyDescent="0.25">
      <c r="B118">
        <v>116</v>
      </c>
      <c r="C118" s="29">
        <v>2</v>
      </c>
      <c r="D118" s="29">
        <v>4</v>
      </c>
      <c r="E118" s="29"/>
      <c r="F118" s="29">
        <v>4</v>
      </c>
    </row>
  </sheetData>
  <conditionalFormatting sqref="C3:F118">
    <cfRule type="colorScale" priority="1">
      <colorScale>
        <cfvo type="num" val="0"/>
        <cfvo type="num" val="2"/>
        <cfvo type="num" val="4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DB00-8C77-4432-A0EB-124C6462E32D}">
  <sheetPr codeName="Sheet2"/>
  <dimension ref="B2:AF84"/>
  <sheetViews>
    <sheetView topLeftCell="L37" zoomScaleNormal="100" workbookViewId="0">
      <selection activeCell="AD28" sqref="AD28"/>
    </sheetView>
  </sheetViews>
  <sheetFormatPr defaultRowHeight="15" x14ac:dyDescent="0.25"/>
  <cols>
    <col min="2" max="2" width="18.5703125" customWidth="1"/>
    <col min="3" max="6" width="10.7109375" customWidth="1"/>
    <col min="7" max="10" width="11" customWidth="1"/>
    <col min="11" max="23" width="10.7109375" customWidth="1"/>
    <col min="25" max="25" width="9.42578125" customWidth="1"/>
  </cols>
  <sheetData>
    <row r="2" spans="2:23" x14ac:dyDescent="0.25">
      <c r="B2" t="s">
        <v>4</v>
      </c>
      <c r="D2" t="s">
        <v>5</v>
      </c>
      <c r="H2" t="s">
        <v>53</v>
      </c>
    </row>
    <row r="3" spans="2:23" x14ac:dyDescent="0.25">
      <c r="D3" t="s">
        <v>6</v>
      </c>
      <c r="H3" t="s">
        <v>55</v>
      </c>
    </row>
    <row r="4" spans="2:23" x14ac:dyDescent="0.25">
      <c r="B4" t="s">
        <v>7</v>
      </c>
      <c r="D4" t="s">
        <v>8</v>
      </c>
      <c r="G4" t="s">
        <v>48</v>
      </c>
      <c r="H4" t="s">
        <v>14</v>
      </c>
      <c r="I4" t="s">
        <v>15</v>
      </c>
      <c r="J4" t="s">
        <v>62</v>
      </c>
      <c r="K4" t="s">
        <v>50</v>
      </c>
      <c r="L4" t="s">
        <v>51</v>
      </c>
      <c r="O4" s="1"/>
    </row>
    <row r="5" spans="2:23" x14ac:dyDescent="0.25">
      <c r="B5" s="1">
        <v>44384</v>
      </c>
      <c r="D5" t="s">
        <v>9</v>
      </c>
      <c r="H5" t="s">
        <v>52</v>
      </c>
      <c r="I5" t="s">
        <v>54</v>
      </c>
      <c r="J5" t="s">
        <v>63</v>
      </c>
      <c r="K5" s="17">
        <v>0.56999999999999995</v>
      </c>
      <c r="L5" s="17">
        <v>0.91</v>
      </c>
    </row>
    <row r="6" spans="2:23" x14ac:dyDescent="0.25">
      <c r="H6" t="s">
        <v>56</v>
      </c>
      <c r="I6" t="s">
        <v>54</v>
      </c>
      <c r="J6" t="s">
        <v>2</v>
      </c>
      <c r="K6" s="17">
        <v>0.53</v>
      </c>
      <c r="L6" s="17">
        <v>0.72899999999999998</v>
      </c>
    </row>
    <row r="7" spans="2:23" x14ac:dyDescent="0.25">
      <c r="G7" s="1">
        <v>44042</v>
      </c>
      <c r="H7" t="s">
        <v>58</v>
      </c>
      <c r="I7" t="s">
        <v>57</v>
      </c>
      <c r="J7" t="s">
        <v>59</v>
      </c>
      <c r="K7">
        <v>0.92700000000000005</v>
      </c>
      <c r="L7">
        <v>0.46200000000000002</v>
      </c>
    </row>
    <row r="8" spans="2:23" x14ac:dyDescent="0.25">
      <c r="G8" s="1">
        <v>44111</v>
      </c>
      <c r="H8" t="s">
        <v>60</v>
      </c>
      <c r="I8" t="s">
        <v>57</v>
      </c>
      <c r="J8" t="s">
        <v>61</v>
      </c>
      <c r="K8">
        <v>0.53500000000000003</v>
      </c>
      <c r="L8">
        <v>0.217</v>
      </c>
    </row>
    <row r="11" spans="2:23" x14ac:dyDescent="0.25">
      <c r="K11" t="s">
        <v>0</v>
      </c>
      <c r="L11" t="s">
        <v>1</v>
      </c>
    </row>
    <row r="12" spans="2:23" ht="15.75" thickBot="1" x14ac:dyDescent="0.3">
      <c r="K12" t="s">
        <v>10</v>
      </c>
      <c r="M12" t="s">
        <v>11</v>
      </c>
      <c r="O12" t="s">
        <v>12</v>
      </c>
      <c r="Q12" t="s">
        <v>13</v>
      </c>
    </row>
    <row r="13" spans="2:23" x14ac:dyDescent="0.25">
      <c r="C13" t="s">
        <v>14</v>
      </c>
      <c r="D13" t="s">
        <v>15</v>
      </c>
      <c r="E13" t="s">
        <v>16</v>
      </c>
      <c r="F13" t="s">
        <v>17</v>
      </c>
      <c r="G13" t="s">
        <v>18</v>
      </c>
      <c r="H13" t="s">
        <v>19</v>
      </c>
      <c r="I13" t="s">
        <v>20</v>
      </c>
      <c r="J13" t="s">
        <v>21</v>
      </c>
      <c r="K13" s="2" t="s">
        <v>22</v>
      </c>
      <c r="L13" s="3" t="s">
        <v>23</v>
      </c>
      <c r="M13" s="3" t="s">
        <v>24</v>
      </c>
      <c r="N13" s="3" t="s">
        <v>25</v>
      </c>
      <c r="O13" s="3" t="s">
        <v>26</v>
      </c>
      <c r="P13" s="3" t="s">
        <v>27</v>
      </c>
      <c r="Q13" s="3" t="s">
        <v>28</v>
      </c>
      <c r="R13" s="4" t="s">
        <v>29</v>
      </c>
      <c r="S13" t="s">
        <v>30</v>
      </c>
      <c r="T13" t="s">
        <v>31</v>
      </c>
      <c r="U13" t="s">
        <v>50</v>
      </c>
      <c r="V13" t="s">
        <v>51</v>
      </c>
      <c r="W13" t="s">
        <v>32</v>
      </c>
    </row>
    <row r="14" spans="2:23" x14ac:dyDescent="0.25">
      <c r="C14" t="s">
        <v>33</v>
      </c>
      <c r="D14" t="s">
        <v>3</v>
      </c>
      <c r="E14">
        <v>3</v>
      </c>
      <c r="F14" s="5">
        <v>1.02</v>
      </c>
      <c r="G14">
        <v>30</v>
      </c>
      <c r="J14">
        <v>0.375</v>
      </c>
      <c r="K14" s="6">
        <v>0</v>
      </c>
      <c r="L14" s="7">
        <v>0</v>
      </c>
      <c r="M14" s="7">
        <v>38.883000000000003</v>
      </c>
      <c r="N14" s="7">
        <v>211.31899999999999</v>
      </c>
      <c r="O14" s="7">
        <v>1.2130000000000001</v>
      </c>
      <c r="P14" s="7">
        <v>6.6139999999999999</v>
      </c>
      <c r="Q14" s="7">
        <v>0</v>
      </c>
      <c r="R14" s="8">
        <v>0</v>
      </c>
      <c r="S14" s="17">
        <f>Table1[[#This Row],[UVA Dose]]+Table1[[#This Row],[UVB Dose]]+Table1[[#This Row],[UVC Dose]]+Table1[[#This Row],[UVV Dose]]</f>
        <v>40.096000000000004</v>
      </c>
      <c r="T14" s="17">
        <f>Table1[[#This Row],[UVA Peak Irr.]]+Table1[[#This Row],[UVB Peak Irr.]]+Table1[[#This Row],[UVC Peak Irr.]]+Table1[[#This Row],[UVV Peak Irr.]]</f>
        <v>217.93299999999999</v>
      </c>
      <c r="U14" s="17"/>
      <c r="V14" s="17">
        <f>IFERROR(Table1[[#This Row],[Total Peak Irradiance (W/cm2)]]/1000/Table1[[#This Row],[Lamp Nominal Power (W/cm)]],"")</f>
        <v>7.2644333333333325E-2</v>
      </c>
      <c r="W14" t="s">
        <v>34</v>
      </c>
    </row>
    <row r="15" spans="2:23" x14ac:dyDescent="0.25">
      <c r="C15" t="s">
        <v>33</v>
      </c>
      <c r="D15" t="s">
        <v>3</v>
      </c>
      <c r="E15">
        <v>3</v>
      </c>
      <c r="F15" s="5">
        <v>1.02</v>
      </c>
      <c r="G15">
        <v>30</v>
      </c>
      <c r="J15">
        <v>0.375</v>
      </c>
      <c r="K15" s="6">
        <v>0</v>
      </c>
      <c r="L15" s="7">
        <v>0</v>
      </c>
      <c r="M15" s="7">
        <v>40.206000000000003</v>
      </c>
      <c r="N15" s="7">
        <v>218.488</v>
      </c>
      <c r="O15" s="7">
        <v>1.214</v>
      </c>
      <c r="P15" s="7">
        <v>6.5780000000000003</v>
      </c>
      <c r="Q15" s="7">
        <v>0</v>
      </c>
      <c r="R15" s="8">
        <v>0</v>
      </c>
      <c r="S15" s="17">
        <f>Table1[[#This Row],[UVA Dose]]+Table1[[#This Row],[UVB Dose]]+Table1[[#This Row],[UVC Dose]]+Table1[[#This Row],[UVV Dose]]</f>
        <v>41.42</v>
      </c>
      <c r="T15" s="17">
        <f>Table1[[#This Row],[UVA Peak Irr.]]+Table1[[#This Row],[UVB Peak Irr.]]+Table1[[#This Row],[UVC Peak Irr.]]+Table1[[#This Row],[UVV Peak Irr.]]</f>
        <v>225.066</v>
      </c>
      <c r="U15" s="17"/>
      <c r="V15" s="17">
        <f>IFERROR(Table1[[#This Row],[Total Peak Irradiance (W/cm2)]]/1000/Table1[[#This Row],[Lamp Nominal Power (W/cm)]],"")</f>
        <v>7.5022000000000005E-2</v>
      </c>
      <c r="W15" t="s">
        <v>36</v>
      </c>
    </row>
    <row r="16" spans="2:23" x14ac:dyDescent="0.25">
      <c r="C16" s="19" t="s">
        <v>33</v>
      </c>
      <c r="D16" s="19" t="s">
        <v>3</v>
      </c>
      <c r="E16" s="19">
        <v>3</v>
      </c>
      <c r="F16" s="20">
        <v>1.02</v>
      </c>
      <c r="G16" s="19">
        <v>30</v>
      </c>
      <c r="H16" s="19"/>
      <c r="I16" s="19"/>
      <c r="J16" s="19">
        <v>0.375</v>
      </c>
      <c r="K16" s="14">
        <f>AVERAGE(K14:K15)</f>
        <v>0</v>
      </c>
      <c r="L16" s="15">
        <f t="shared" ref="L16" si="0">AVERAGE(L14:L15)</f>
        <v>0</v>
      </c>
      <c r="M16" s="15">
        <f t="shared" ref="M16" si="1">AVERAGE(M14:M15)</f>
        <v>39.544499999999999</v>
      </c>
      <c r="N16" s="15">
        <f t="shared" ref="N16" si="2">AVERAGE(N14:N15)</f>
        <v>214.90350000000001</v>
      </c>
      <c r="O16" s="15">
        <f t="shared" ref="O16" si="3">AVERAGE(O14:O15)</f>
        <v>1.2135</v>
      </c>
      <c r="P16" s="15">
        <f t="shared" ref="P16" si="4">AVERAGE(P14:P15)</f>
        <v>6.5960000000000001</v>
      </c>
      <c r="Q16" s="15">
        <f t="shared" ref="Q16" si="5">AVERAGE(Q14:Q15)</f>
        <v>0</v>
      </c>
      <c r="R16" s="16">
        <f t="shared" ref="R16" si="6">AVERAGE(R14:R15)</f>
        <v>0</v>
      </c>
      <c r="S16" s="18">
        <f>Table1[[#This Row],[UVA Dose]]+Table1[[#This Row],[UVB Dose]]+Table1[[#This Row],[UVC Dose]]+Table1[[#This Row],[UVV Dose]]</f>
        <v>40.758000000000003</v>
      </c>
      <c r="T16" s="18">
        <f>Table1[[#This Row],[UVA Peak Irr.]]+Table1[[#This Row],[UVB Peak Irr.]]+Table1[[#This Row],[UVC Peak Irr.]]+Table1[[#This Row],[UVV Peak Irr.]]</f>
        <v>221.49950000000001</v>
      </c>
      <c r="U16" s="18"/>
      <c r="V16" s="18">
        <f>IFERROR(Table1[[#This Row],[Total Peak Irradiance (W/cm2)]]/1000/Table1[[#This Row],[Lamp Nominal Power (W/cm)]],"")</f>
        <v>7.3833166666666672E-2</v>
      </c>
      <c r="W16" s="19" t="s">
        <v>49</v>
      </c>
    </row>
    <row r="17" spans="2:32" x14ac:dyDescent="0.25">
      <c r="F17" s="5"/>
      <c r="K17" s="6"/>
      <c r="L17" s="7"/>
      <c r="M17" s="7"/>
      <c r="N17" s="7"/>
      <c r="O17" s="7"/>
      <c r="P17" s="7"/>
      <c r="Q17" s="7"/>
      <c r="R17" s="8"/>
      <c r="S17" s="17">
        <f>Table1[[#This Row],[UVA Dose]]+Table1[[#This Row],[UVB Dose]]+Table1[[#This Row],[UVC Dose]]+Table1[[#This Row],[UVV Dose]]</f>
        <v>0</v>
      </c>
      <c r="T17" s="17">
        <f>Table1[[#This Row],[UVA Peak Irr.]]+Table1[[#This Row],[UVB Peak Irr.]]+Table1[[#This Row],[UVC Peak Irr.]]+Table1[[#This Row],[UVV Peak Irr.]]</f>
        <v>0</v>
      </c>
      <c r="U17" s="17"/>
      <c r="V17" s="17" t="str">
        <f>IFERROR(Table1[[#This Row],[Total Peak Irradiance (W/cm2)]]/1000/Table1[[#This Row],[Lamp Nominal Power (W/cm)]],"")</f>
        <v/>
      </c>
    </row>
    <row r="18" spans="2:32" x14ac:dyDescent="0.25">
      <c r="C18" t="s">
        <v>35</v>
      </c>
      <c r="D18" t="s">
        <v>3</v>
      </c>
      <c r="E18">
        <v>8</v>
      </c>
      <c r="F18" s="5">
        <v>1.03</v>
      </c>
      <c r="G18">
        <v>30</v>
      </c>
      <c r="J18">
        <v>0.375</v>
      </c>
      <c r="K18" s="6">
        <v>766.84900000000005</v>
      </c>
      <c r="L18" s="7">
        <v>4072.8850000000002</v>
      </c>
      <c r="M18" s="7">
        <v>15.875</v>
      </c>
      <c r="N18" s="7">
        <v>92.881</v>
      </c>
      <c r="O18" s="7">
        <v>16.361000000000001</v>
      </c>
      <c r="P18" s="7">
        <v>104.11199999999999</v>
      </c>
      <c r="Q18" s="7">
        <v>216.30099999999999</v>
      </c>
      <c r="R18" s="8">
        <v>1145.1089999999999</v>
      </c>
      <c r="S18" s="17">
        <f>Table1[[#This Row],[UVA Dose]]+Table1[[#This Row],[UVB Dose]]+Table1[[#This Row],[UVC Dose]]+Table1[[#This Row],[UVV Dose]]</f>
        <v>1015.386</v>
      </c>
      <c r="T18" s="17">
        <f>Table1[[#This Row],[UVA Peak Irr.]]+Table1[[#This Row],[UVB Peak Irr.]]+Table1[[#This Row],[UVC Peak Irr.]]+Table1[[#This Row],[UVV Peak Irr.]]</f>
        <v>5414.987000000001</v>
      </c>
      <c r="U18" s="17"/>
      <c r="V18" s="17">
        <f>IFERROR(Table1[[#This Row],[Total Peak Irradiance (W/cm2)]]/1000/Table1[[#This Row],[Lamp Nominal Power (W/cm)]],"")</f>
        <v>0.67687337500000011</v>
      </c>
      <c r="W18" t="s">
        <v>37</v>
      </c>
    </row>
    <row r="19" spans="2:32" x14ac:dyDescent="0.25">
      <c r="C19" t="s">
        <v>35</v>
      </c>
      <c r="D19" t="s">
        <v>3</v>
      </c>
      <c r="E19">
        <v>8</v>
      </c>
      <c r="F19" s="5">
        <v>1.03</v>
      </c>
      <c r="G19">
        <v>30</v>
      </c>
      <c r="J19">
        <v>0.375</v>
      </c>
      <c r="K19" s="6">
        <v>763.13900000000001</v>
      </c>
      <c r="L19" s="7">
        <v>3972.4760000000001</v>
      </c>
      <c r="M19" s="7">
        <v>15.601000000000001</v>
      </c>
      <c r="N19" s="7">
        <v>89.451999999999998</v>
      </c>
      <c r="O19" s="7">
        <v>19.126999999999999</v>
      </c>
      <c r="P19" s="7">
        <v>100.27500000000001</v>
      </c>
      <c r="Q19" s="7">
        <v>214.429</v>
      </c>
      <c r="R19" s="8">
        <v>1113.673</v>
      </c>
      <c r="S19" s="17">
        <f>Table1[[#This Row],[UVA Dose]]+Table1[[#This Row],[UVB Dose]]+Table1[[#This Row],[UVC Dose]]+Table1[[#This Row],[UVV Dose]]</f>
        <v>1012.2959999999999</v>
      </c>
      <c r="T19" s="17">
        <f>Table1[[#This Row],[UVA Peak Irr.]]+Table1[[#This Row],[UVB Peak Irr.]]+Table1[[#This Row],[UVC Peak Irr.]]+Table1[[#This Row],[UVV Peak Irr.]]</f>
        <v>5275.8759999999993</v>
      </c>
      <c r="U19" s="17"/>
      <c r="V19" s="17">
        <f>IFERROR(Table1[[#This Row],[Total Peak Irradiance (W/cm2)]]/1000/Table1[[#This Row],[Lamp Nominal Power (W/cm)]],"")</f>
        <v>0.65948449999999992</v>
      </c>
      <c r="W19" t="s">
        <v>37</v>
      </c>
      <c r="Y19" t="s">
        <v>66</v>
      </c>
      <c r="Z19" t="s">
        <v>44</v>
      </c>
    </row>
    <row r="20" spans="2:32" x14ac:dyDescent="0.25">
      <c r="C20" s="19" t="s">
        <v>35</v>
      </c>
      <c r="D20" s="19" t="s">
        <v>3</v>
      </c>
      <c r="E20" s="19">
        <v>8</v>
      </c>
      <c r="F20" s="20">
        <v>1.03</v>
      </c>
      <c r="G20" s="19">
        <v>30</v>
      </c>
      <c r="H20" s="19"/>
      <c r="I20" s="19"/>
      <c r="J20" s="19">
        <v>0.375</v>
      </c>
      <c r="K20" s="14">
        <f>AVERAGE(K18:K19)</f>
        <v>764.99400000000003</v>
      </c>
      <c r="L20" s="15">
        <f t="shared" ref="L20:R20" si="7">AVERAGE(L18:L19)</f>
        <v>4022.6805000000004</v>
      </c>
      <c r="M20" s="15">
        <f t="shared" si="7"/>
        <v>15.738</v>
      </c>
      <c r="N20" s="15">
        <f t="shared" si="7"/>
        <v>91.166499999999999</v>
      </c>
      <c r="O20" s="15">
        <f t="shared" si="7"/>
        <v>17.744</v>
      </c>
      <c r="P20" s="15">
        <f t="shared" si="7"/>
        <v>102.1935</v>
      </c>
      <c r="Q20" s="15">
        <f t="shared" si="7"/>
        <v>215.36500000000001</v>
      </c>
      <c r="R20" s="16">
        <f t="shared" si="7"/>
        <v>1129.3910000000001</v>
      </c>
      <c r="S20" s="18">
        <f>Table1[[#This Row],[UVA Dose]]+Table1[[#This Row],[UVB Dose]]+Table1[[#This Row],[UVC Dose]]+Table1[[#This Row],[UVV Dose]]</f>
        <v>1013.841</v>
      </c>
      <c r="T20" s="18">
        <f>Table1[[#This Row],[UVA Peak Irr.]]+Table1[[#This Row],[UVB Peak Irr.]]+Table1[[#This Row],[UVC Peak Irr.]]+Table1[[#This Row],[UVV Peak Irr.]]</f>
        <v>5345.4315000000006</v>
      </c>
      <c r="U20" s="18"/>
      <c r="V20" s="18">
        <f>IFERROR(Table1[[#This Row],[Total Peak Irradiance (W/cm2)]]/1000/Table1[[#This Row],[Lamp Nominal Power (W/cm)]],"")</f>
        <v>0.66817893750000013</v>
      </c>
      <c r="W20" s="19" t="s">
        <v>49</v>
      </c>
      <c r="Y20" t="s">
        <v>42</v>
      </c>
      <c r="Z20" t="s">
        <v>43</v>
      </c>
    </row>
    <row r="21" spans="2:32" ht="15.75" thickBot="1" x14ac:dyDescent="0.3">
      <c r="K21" s="9"/>
      <c r="L21" s="10"/>
      <c r="M21" s="10"/>
      <c r="N21" s="10"/>
      <c r="O21" s="10"/>
      <c r="P21" s="10"/>
      <c r="Q21" s="10"/>
      <c r="R21" s="11"/>
      <c r="S21" s="17">
        <f>Table1[[#This Row],[UVA Dose]]+Table1[[#This Row],[UVB Dose]]+Table1[[#This Row],[UVC Dose]]+Table1[[#This Row],[UVV Dose]]</f>
        <v>0</v>
      </c>
      <c r="T21" s="17">
        <f>Table1[[#This Row],[UVA Peak Irr.]]+Table1[[#This Row],[UVB Peak Irr.]]+Table1[[#This Row],[UVC Peak Irr.]]+Table1[[#This Row],[UVV Peak Irr.]]</f>
        <v>0</v>
      </c>
      <c r="U21" s="17"/>
      <c r="V21" s="17" t="str">
        <f>IFERROR(Table1[[#This Row],[Total Peak Irradiance (W/cm2)]]/1000/Table1[[#This Row],[Lamp Nominal Power (W/cm)]],"")</f>
        <v/>
      </c>
      <c r="Y21" t="s">
        <v>45</v>
      </c>
      <c r="Z21" t="s">
        <v>46</v>
      </c>
    </row>
    <row r="23" spans="2:32" x14ac:dyDescent="0.25">
      <c r="B23" t="s">
        <v>64</v>
      </c>
      <c r="H23" t="s">
        <v>70</v>
      </c>
      <c r="K23" t="s">
        <v>47</v>
      </c>
    </row>
    <row r="24" spans="2:32" x14ac:dyDescent="0.25">
      <c r="B24" t="s">
        <v>65</v>
      </c>
    </row>
    <row r="25" spans="2:32" x14ac:dyDescent="0.25">
      <c r="C25" t="s">
        <v>88</v>
      </c>
      <c r="D25" t="s">
        <v>87</v>
      </c>
      <c r="E25" t="s">
        <v>89</v>
      </c>
      <c r="F25" t="s">
        <v>38</v>
      </c>
      <c r="G25" t="s">
        <v>39</v>
      </c>
      <c r="H25" t="s">
        <v>90</v>
      </c>
      <c r="I25" t="s">
        <v>40</v>
      </c>
      <c r="J25" t="s">
        <v>41</v>
      </c>
      <c r="K25" t="s">
        <v>18</v>
      </c>
      <c r="L25" t="s">
        <v>91</v>
      </c>
      <c r="M25" t="s">
        <v>68</v>
      </c>
      <c r="N25" t="s">
        <v>69</v>
      </c>
      <c r="O25" t="s">
        <v>110</v>
      </c>
      <c r="P25" t="s">
        <v>118</v>
      </c>
      <c r="Q25" t="s">
        <v>21</v>
      </c>
      <c r="R25" s="21" t="s">
        <v>76</v>
      </c>
      <c r="S25" s="21" t="s">
        <v>77</v>
      </c>
      <c r="T25" s="21" t="s">
        <v>78</v>
      </c>
      <c r="U25" s="22" t="s">
        <v>79</v>
      </c>
      <c r="V25" s="22" t="s">
        <v>80</v>
      </c>
      <c r="W25" t="s">
        <v>81</v>
      </c>
      <c r="X25" t="s">
        <v>82</v>
      </c>
      <c r="Y25" t="s">
        <v>83</v>
      </c>
      <c r="Z25" t="s">
        <v>84</v>
      </c>
      <c r="AA25" s="30" t="s">
        <v>74</v>
      </c>
      <c r="AB25" s="31" t="s">
        <v>75</v>
      </c>
    </row>
    <row r="26" spans="2:32" x14ac:dyDescent="0.25">
      <c r="C26" s="37">
        <v>44384</v>
      </c>
      <c r="D26" s="36">
        <v>1</v>
      </c>
      <c r="E26" s="40"/>
      <c r="F26" s="41">
        <v>1</v>
      </c>
      <c r="G26" s="41">
        <v>0</v>
      </c>
      <c r="H26" s="12">
        <f>QualData[[#This Row],[395nm Power Setting (%)]]*16</f>
        <v>0</v>
      </c>
      <c r="I26" s="12">
        <f>QualData[[#This Row],[365nm Power Setting (%)]]*8</f>
        <v>8</v>
      </c>
      <c r="J26" s="13">
        <f>QualData[[#This Row],[275nm Power (%)]]*3</f>
        <v>0</v>
      </c>
      <c r="K26">
        <v>30</v>
      </c>
      <c r="L26">
        <f>60*QualData[[#This Row],[395nm Irr. (W/cm2)]]/QualData[[#This Row],[Conveyor Speed (ft/min)]]</f>
        <v>0</v>
      </c>
      <c r="M26">
        <f>60*QualData[[#This Row],[365nm Irr. (W/cm2)]]/QualData[[#This Row],[Conveyor Speed (ft/min)]]</f>
        <v>16</v>
      </c>
      <c r="N26">
        <f>60*QualData[[#This Row],[275nm Irr. (W/cm2)]]/QualData[[#This Row],[Conveyor Speed (ft/min)]]</f>
        <v>0</v>
      </c>
      <c r="O26">
        <f>SUM(QualData[[#This Row],[395nm Normalized Dose]:[275nm Normalized Dose]])</f>
        <v>16</v>
      </c>
      <c r="P26" t="str">
        <f>IF(QualData[[#This Row],[395nm Normalized Dose]],"395nm",IF(QualData[[#This Row],[365nm Normalized Dose]],"365nm",""))</f>
        <v>365nm</v>
      </c>
      <c r="Q26">
        <v>0.375</v>
      </c>
      <c r="R26" s="28">
        <v>5</v>
      </c>
      <c r="S26" s="28"/>
      <c r="T26" s="28"/>
      <c r="U26" s="28">
        <f>IF(ISNUMBER(INDEX(Table7[Tape],MATCH(QualData[[#This Row],[Trial 1]],Table7[Can],0))),INDEX(Table7[Tape],MATCH(QualData[[#This Row],[Trial 1]],Table7[Can],0)),"")</f>
        <v>0</v>
      </c>
      <c r="V26" s="28" t="str">
        <f>IF(ISNUMBER(INDEX(Table7[Tape],MATCH(QualData[[#This Row],[Trial 2]],Table7[Can],0))),INDEX(Table7[Tape],MATCH(QualData[[#This Row],[Trial 2]],Table7[Can],0)),"")</f>
        <v/>
      </c>
      <c r="W26" s="28" t="str">
        <f>IF(ISNUMBER(INDEX(Table7[Tape],MATCH(QualData[[#This Row],[Trial 3]],Table7[Can],0))),INDEX(Table7[Tape],MATCH(QualData[[#This Row],[Trial 3]],Table7[Can],0)),"")</f>
        <v/>
      </c>
      <c r="X26" s="28">
        <f>IF(ISNUMBER(INDEX(Table7[Scratch],MATCH(QualData[[#This Row],[Trial 1]],Table7[Can],0))),INDEX(Table7[Scratch],MATCH(QualData[[#This Row],[Trial 1]],Table7[Can],0)),"")</f>
        <v>4</v>
      </c>
      <c r="Y26" s="28" t="str">
        <f>IF(ISNUMBER(INDEX(Table7[Scratch],MATCH(QualData[[#This Row],[Trial 2]],Table7[Can],0))),INDEX(Table7[Scratch],MATCH(QualData[[#This Row],[Trial 2]],Table7[Can],0)),"")</f>
        <v/>
      </c>
      <c r="Z26" s="28" t="str">
        <f>IF(ISNUMBER(INDEX(Table7[Scratch],MATCH(QualData[[#This Row],[Trial 3]],Table7[Can],0))),INDEX(Table7[Scratch],MATCH(QualData[[#This Row],[Trial 3]],Table7[Can],0)),"")</f>
        <v/>
      </c>
      <c r="AA26" s="54">
        <f>IFERROR(AVERAGE(QualData[[#This Row],[Trial 1 Tape Score]:[Trial 3 Tape Score]])/4,"")</f>
        <v>0</v>
      </c>
      <c r="AB26" s="54">
        <f>IFERROR(AVERAGE(QualData[[#This Row],[Trial 1 Scratch Score]:[Trial 3 Scratch Score]])/4,"")</f>
        <v>1</v>
      </c>
    </row>
    <row r="27" spans="2:32" x14ac:dyDescent="0.25">
      <c r="C27" s="37">
        <v>44384</v>
      </c>
      <c r="D27" s="36">
        <v>2</v>
      </c>
      <c r="E27" s="40"/>
      <c r="F27" s="41">
        <v>0.5</v>
      </c>
      <c r="G27" s="41">
        <v>0</v>
      </c>
      <c r="H27" s="12">
        <f>QualData[[#This Row],[395nm Power Setting (%)]]*16</f>
        <v>0</v>
      </c>
      <c r="I27" s="12">
        <f>QualData[[#This Row],[365nm Power Setting (%)]]*8</f>
        <v>4</v>
      </c>
      <c r="J27" s="13">
        <f>QualData[[#This Row],[275nm Power (%)]]*3</f>
        <v>0</v>
      </c>
      <c r="K27">
        <v>30</v>
      </c>
      <c r="L27">
        <f>60*QualData[[#This Row],[395nm Irr. (W/cm2)]]/QualData[[#This Row],[Conveyor Speed (ft/min)]]</f>
        <v>0</v>
      </c>
      <c r="M27">
        <f>60*QualData[[#This Row],[365nm Irr. (W/cm2)]]/QualData[[#This Row],[Conveyor Speed (ft/min)]]</f>
        <v>8</v>
      </c>
      <c r="N27">
        <f>60*QualData[[#This Row],[275nm Irr. (W/cm2)]]/QualData[[#This Row],[Conveyor Speed (ft/min)]]</f>
        <v>0</v>
      </c>
      <c r="O27">
        <f>SUM(QualData[[#This Row],[395nm Normalized Dose]:[275nm Normalized Dose]])</f>
        <v>8</v>
      </c>
      <c r="P27" t="str">
        <f>IF(QualData[[#This Row],[395nm Normalized Dose]],"395nm",IF(QualData[[#This Row],[365nm Normalized Dose]],"365nm",""))</f>
        <v>365nm</v>
      </c>
      <c r="Q27">
        <v>0.375</v>
      </c>
      <c r="R27" s="28">
        <v>2</v>
      </c>
      <c r="S27" s="28"/>
      <c r="T27" s="28"/>
      <c r="U27" s="28">
        <f>IF(ISNUMBER(INDEX(Table7[Tape],MATCH(QualData[[#This Row],[Trial 1]],Table7[Can],0))),INDEX(Table7[Tape],MATCH(QualData[[#This Row],[Trial 1]],Table7[Can],0)),"")</f>
        <v>0</v>
      </c>
      <c r="V27" s="28" t="str">
        <f>IF(ISNUMBER(INDEX(Table7[Tape],MATCH(QualData[[#This Row],[Trial 2]],Table7[Can],0))),INDEX(Table7[Tape],MATCH(QualData[[#This Row],[Trial 2]],Table7[Can],0)),"")</f>
        <v/>
      </c>
      <c r="W27" s="28" t="str">
        <f>IF(ISNUMBER(INDEX(Table7[Tape],MATCH(QualData[[#This Row],[Trial 3]],Table7[Can],0))),INDEX(Table7[Tape],MATCH(QualData[[#This Row],[Trial 3]],Table7[Can],0)),"")</f>
        <v/>
      </c>
      <c r="X27" s="28">
        <f>IF(ISNUMBER(INDEX(Table7[Scratch],MATCH(QualData[[#This Row],[Trial 1]],Table7[Can],0))),INDEX(Table7[Scratch],MATCH(QualData[[#This Row],[Trial 1]],Table7[Can],0)),"")</f>
        <v>4</v>
      </c>
      <c r="Y27" s="28" t="str">
        <f>IF(ISNUMBER(INDEX(Table7[Scratch],MATCH(QualData[[#This Row],[Trial 2]],Table7[Can],0))),INDEX(Table7[Scratch],MATCH(QualData[[#This Row],[Trial 2]],Table7[Can],0)),"")</f>
        <v/>
      </c>
      <c r="Z27" s="28" t="str">
        <f>IF(ISNUMBER(INDEX(Table7[Scratch],MATCH(QualData[[#This Row],[Trial 3]],Table7[Can],0))),INDEX(Table7[Scratch],MATCH(QualData[[#This Row],[Trial 3]],Table7[Can],0)),"")</f>
        <v/>
      </c>
      <c r="AA27" s="54">
        <f>IFERROR(AVERAGE(QualData[[#This Row],[Trial 1 Tape Score]:[Trial 3 Tape Score]])/4,"")</f>
        <v>0</v>
      </c>
      <c r="AB27" s="54">
        <f>IFERROR(AVERAGE(QualData[[#This Row],[Trial 1 Scratch Score]:[Trial 3 Scratch Score]])/4,"")</f>
        <v>1</v>
      </c>
    </row>
    <row r="28" spans="2:32" x14ac:dyDescent="0.25">
      <c r="C28" s="37">
        <v>44384</v>
      </c>
      <c r="D28" s="36">
        <v>3</v>
      </c>
      <c r="E28" s="40"/>
      <c r="F28" s="41">
        <v>0.25</v>
      </c>
      <c r="G28" s="41">
        <v>0</v>
      </c>
      <c r="H28" s="12">
        <f>QualData[[#This Row],[395nm Power Setting (%)]]*16</f>
        <v>0</v>
      </c>
      <c r="I28" s="12">
        <f>QualData[[#This Row],[365nm Power Setting (%)]]*8</f>
        <v>2</v>
      </c>
      <c r="J28" s="13">
        <f>QualData[[#This Row],[275nm Power (%)]]*3</f>
        <v>0</v>
      </c>
      <c r="K28">
        <v>30</v>
      </c>
      <c r="L28">
        <f>60*QualData[[#This Row],[395nm Irr. (W/cm2)]]/QualData[[#This Row],[Conveyor Speed (ft/min)]]</f>
        <v>0</v>
      </c>
      <c r="M28">
        <f>60*QualData[[#This Row],[365nm Irr. (W/cm2)]]/QualData[[#This Row],[Conveyor Speed (ft/min)]]</f>
        <v>4</v>
      </c>
      <c r="N28">
        <f>60*QualData[[#This Row],[275nm Irr. (W/cm2)]]/QualData[[#This Row],[Conveyor Speed (ft/min)]]</f>
        <v>0</v>
      </c>
      <c r="O28">
        <f>SUM(QualData[[#This Row],[395nm Normalized Dose]:[275nm Normalized Dose]])</f>
        <v>4</v>
      </c>
      <c r="P28" t="str">
        <f>IF(QualData[[#This Row],[395nm Normalized Dose]],"395nm",IF(QualData[[#This Row],[365nm Normalized Dose]],"365nm",""))</f>
        <v>365nm</v>
      </c>
      <c r="Q28">
        <v>0.375</v>
      </c>
      <c r="R28" s="28">
        <v>3</v>
      </c>
      <c r="S28" s="28"/>
      <c r="T28" s="28"/>
      <c r="U28" s="28">
        <f>IF(ISNUMBER(INDEX(Table7[Tape],MATCH(QualData[[#This Row],[Trial 1]],Table7[Can],0))),INDEX(Table7[Tape],MATCH(QualData[[#This Row],[Trial 1]],Table7[Can],0)),"")</f>
        <v>0</v>
      </c>
      <c r="V28" s="28" t="str">
        <f>IF(ISNUMBER(INDEX(Table7[Tape],MATCH(QualData[[#This Row],[Trial 2]],Table7[Can],0))),INDEX(Table7[Tape],MATCH(QualData[[#This Row],[Trial 2]],Table7[Can],0)),"")</f>
        <v/>
      </c>
      <c r="W28" s="28" t="str">
        <f>IF(ISNUMBER(INDEX(Table7[Tape],MATCH(QualData[[#This Row],[Trial 3]],Table7[Can],0))),INDEX(Table7[Tape],MATCH(QualData[[#This Row],[Trial 3]],Table7[Can],0)),"")</f>
        <v/>
      </c>
      <c r="X28" s="28">
        <f>IF(ISNUMBER(INDEX(Table7[Scratch],MATCH(QualData[[#This Row],[Trial 1]],Table7[Can],0))),INDEX(Table7[Scratch],MATCH(QualData[[#This Row],[Trial 1]],Table7[Can],0)),"")</f>
        <v>4</v>
      </c>
      <c r="Y28" s="28" t="str">
        <f>IF(ISNUMBER(INDEX(Table7[Scratch],MATCH(QualData[[#This Row],[Trial 2]],Table7[Can],0))),INDEX(Table7[Scratch],MATCH(QualData[[#This Row],[Trial 2]],Table7[Can],0)),"")</f>
        <v/>
      </c>
      <c r="Z28" s="28" t="str">
        <f>IF(ISNUMBER(INDEX(Table7[Scratch],MATCH(QualData[[#This Row],[Trial 3]],Table7[Can],0))),INDEX(Table7[Scratch],MATCH(QualData[[#This Row],[Trial 3]],Table7[Can],0)),"")</f>
        <v/>
      </c>
      <c r="AA28" s="54">
        <f>IFERROR(AVERAGE(QualData[[#This Row],[Trial 1 Tape Score]:[Trial 3 Tape Score]])/4,"")</f>
        <v>0</v>
      </c>
      <c r="AB28" s="54">
        <f>IFERROR(AVERAGE(QualData[[#This Row],[Trial 1 Scratch Score]:[Trial 3 Scratch Score]])/4,"")</f>
        <v>1</v>
      </c>
    </row>
    <row r="29" spans="2:32" x14ac:dyDescent="0.25">
      <c r="C29" s="37">
        <v>44384</v>
      </c>
      <c r="D29" s="36">
        <v>4</v>
      </c>
      <c r="E29" s="40"/>
      <c r="F29" s="41">
        <v>0.1</v>
      </c>
      <c r="G29" s="41">
        <v>0</v>
      </c>
      <c r="H29" s="12">
        <f>QualData[[#This Row],[395nm Power Setting (%)]]*16</f>
        <v>0</v>
      </c>
      <c r="I29" s="12">
        <f>QualData[[#This Row],[365nm Power Setting (%)]]*8</f>
        <v>0.8</v>
      </c>
      <c r="J29" s="13">
        <f>QualData[[#This Row],[275nm Power (%)]]*3</f>
        <v>0</v>
      </c>
      <c r="K29">
        <v>30</v>
      </c>
      <c r="L29">
        <f>60*QualData[[#This Row],[395nm Irr. (W/cm2)]]/QualData[[#This Row],[Conveyor Speed (ft/min)]]</f>
        <v>0</v>
      </c>
      <c r="M29">
        <f>60*QualData[[#This Row],[365nm Irr. (W/cm2)]]/QualData[[#This Row],[Conveyor Speed (ft/min)]]</f>
        <v>1.6</v>
      </c>
      <c r="N29">
        <f>60*QualData[[#This Row],[275nm Irr. (W/cm2)]]/QualData[[#This Row],[Conveyor Speed (ft/min)]]</f>
        <v>0</v>
      </c>
      <c r="O29">
        <f>SUM(QualData[[#This Row],[395nm Normalized Dose]:[275nm Normalized Dose]])</f>
        <v>1.6</v>
      </c>
      <c r="P29" t="str">
        <f>IF(QualData[[#This Row],[395nm Normalized Dose]],"395nm",IF(QualData[[#This Row],[365nm Normalized Dose]],"365nm",""))</f>
        <v>365nm</v>
      </c>
      <c r="Q29">
        <v>0.375</v>
      </c>
      <c r="R29" s="28">
        <v>4</v>
      </c>
      <c r="S29" s="28"/>
      <c r="T29" s="28"/>
      <c r="U29" s="28">
        <f>IF(ISNUMBER(INDEX(Table7[Tape],MATCH(QualData[[#This Row],[Trial 1]],Table7[Can],0))),INDEX(Table7[Tape],MATCH(QualData[[#This Row],[Trial 1]],Table7[Can],0)),"")</f>
        <v>0</v>
      </c>
      <c r="V29" s="28" t="str">
        <f>IF(ISNUMBER(INDEX(Table7[Tape],MATCH(QualData[[#This Row],[Trial 2]],Table7[Can],0))),INDEX(Table7[Tape],MATCH(QualData[[#This Row],[Trial 2]],Table7[Can],0)),"")</f>
        <v/>
      </c>
      <c r="W29" s="28" t="str">
        <f>IF(ISNUMBER(INDEX(Table7[Tape],MATCH(QualData[[#This Row],[Trial 3]],Table7[Can],0))),INDEX(Table7[Tape],MATCH(QualData[[#This Row],[Trial 3]],Table7[Can],0)),"")</f>
        <v/>
      </c>
      <c r="X29" s="28">
        <f>IF(ISNUMBER(INDEX(Table7[Scratch],MATCH(QualData[[#This Row],[Trial 1]],Table7[Can],0))),INDEX(Table7[Scratch],MATCH(QualData[[#This Row],[Trial 1]],Table7[Can],0)),"")</f>
        <v>4</v>
      </c>
      <c r="Y29" s="28" t="str">
        <f>IF(ISNUMBER(INDEX(Table7[Scratch],MATCH(QualData[[#This Row],[Trial 2]],Table7[Can],0))),INDEX(Table7[Scratch],MATCH(QualData[[#This Row],[Trial 2]],Table7[Can],0)),"")</f>
        <v/>
      </c>
      <c r="Z29" s="28" t="str">
        <f>IF(ISNUMBER(INDEX(Table7[Scratch],MATCH(QualData[[#This Row],[Trial 3]],Table7[Can],0))),INDEX(Table7[Scratch],MATCH(QualData[[#This Row],[Trial 3]],Table7[Can],0)),"")</f>
        <v/>
      </c>
      <c r="AA29" s="54">
        <f>IFERROR(AVERAGE(QualData[[#This Row],[Trial 1 Tape Score]:[Trial 3 Tape Score]])/4,"")</f>
        <v>0</v>
      </c>
      <c r="AB29" s="54">
        <f>IFERROR(AVERAGE(QualData[[#This Row],[Trial 1 Scratch Score]:[Trial 3 Scratch Score]])/4,"")</f>
        <v>1</v>
      </c>
    </row>
    <row r="30" spans="2:32" x14ac:dyDescent="0.25">
      <c r="C30" s="37">
        <v>44384</v>
      </c>
      <c r="D30" s="36">
        <v>5</v>
      </c>
      <c r="E30" s="40"/>
      <c r="F30" s="41">
        <v>0.25</v>
      </c>
      <c r="G30" s="41">
        <v>0</v>
      </c>
      <c r="H30" s="12">
        <f>QualData[[#This Row],[395nm Power Setting (%)]]*16</f>
        <v>0</v>
      </c>
      <c r="I30" s="12">
        <f>QualData[[#This Row],[365nm Power Setting (%)]]*8</f>
        <v>2</v>
      </c>
      <c r="J30" s="13">
        <f>QualData[[#This Row],[275nm Power (%)]]*3</f>
        <v>0</v>
      </c>
      <c r="K30">
        <v>60</v>
      </c>
      <c r="L30">
        <f>60*QualData[[#This Row],[395nm Irr. (W/cm2)]]/QualData[[#This Row],[Conveyor Speed (ft/min)]]</f>
        <v>0</v>
      </c>
      <c r="M30">
        <f>60*QualData[[#This Row],[365nm Irr. (W/cm2)]]/QualData[[#This Row],[Conveyor Speed (ft/min)]]</f>
        <v>2</v>
      </c>
      <c r="N30">
        <f>60*QualData[[#This Row],[275nm Irr. (W/cm2)]]/QualData[[#This Row],[Conveyor Speed (ft/min)]]</f>
        <v>0</v>
      </c>
      <c r="O30">
        <f>SUM(QualData[[#This Row],[395nm Normalized Dose]:[275nm Normalized Dose]])</f>
        <v>2</v>
      </c>
      <c r="P30" t="str">
        <f>IF(QualData[[#This Row],[395nm Normalized Dose]],"395nm",IF(QualData[[#This Row],[365nm Normalized Dose]],"365nm",""))</f>
        <v>365nm</v>
      </c>
      <c r="Q30">
        <v>0.375</v>
      </c>
      <c r="R30" s="28">
        <v>6</v>
      </c>
      <c r="S30" s="28">
        <v>8</v>
      </c>
      <c r="T30" s="28"/>
      <c r="U30" s="28">
        <f>IF(ISNUMBER(INDEX(Table7[Tape],MATCH(QualData[[#This Row],[Trial 1]],Table7[Can],0))),INDEX(Table7[Tape],MATCH(QualData[[#This Row],[Trial 1]],Table7[Can],0)),"")</f>
        <v>0</v>
      </c>
      <c r="V30" s="28" t="str">
        <f>IF(ISNUMBER(INDEX(Table7[Tape],MATCH(QualData[[#This Row],[Trial 2]],Table7[Can],0))),INDEX(Table7[Tape],MATCH(QualData[[#This Row],[Trial 2]],Table7[Can],0)),"")</f>
        <v/>
      </c>
      <c r="W30" s="28" t="str">
        <f>IF(ISNUMBER(INDEX(Table7[Tape],MATCH(QualData[[#This Row],[Trial 3]],Table7[Can],0))),INDEX(Table7[Tape],MATCH(QualData[[#This Row],[Trial 3]],Table7[Can],0)),"")</f>
        <v/>
      </c>
      <c r="X30" s="28" t="str">
        <f>IF(ISNUMBER(INDEX(Table7[Scratch],MATCH(QualData[[#This Row],[Trial 1]],Table7[Can],0))),INDEX(Table7[Scratch],MATCH(QualData[[#This Row],[Trial 1]],Table7[Can],0)),"")</f>
        <v/>
      </c>
      <c r="Y30" s="28" t="str">
        <f>IF(ISNUMBER(INDEX(Table7[Scratch],MATCH(QualData[[#This Row],[Trial 2]],Table7[Can],0))),INDEX(Table7[Scratch],MATCH(QualData[[#This Row],[Trial 2]],Table7[Can],0)),"")</f>
        <v/>
      </c>
      <c r="Z30" s="28" t="str">
        <f>IF(ISNUMBER(INDEX(Table7[Scratch],MATCH(QualData[[#This Row],[Trial 3]],Table7[Can],0))),INDEX(Table7[Scratch],MATCH(QualData[[#This Row],[Trial 3]],Table7[Can],0)),"")</f>
        <v/>
      </c>
      <c r="AA30" s="54">
        <f>IFERROR(AVERAGE(QualData[[#This Row],[Trial 1 Tape Score]:[Trial 3 Tape Score]])/4,"")</f>
        <v>0</v>
      </c>
      <c r="AB30" s="54" t="str">
        <f>IFERROR(AVERAGE(QualData[[#This Row],[Trial 1 Scratch Score]:[Trial 3 Scratch Score]])/4,"")</f>
        <v/>
      </c>
      <c r="AF30" s="26"/>
    </row>
    <row r="31" spans="2:32" x14ac:dyDescent="0.25">
      <c r="C31" s="37">
        <v>44384</v>
      </c>
      <c r="D31" s="36">
        <v>6</v>
      </c>
      <c r="E31" s="40"/>
      <c r="F31" s="41">
        <v>0.1</v>
      </c>
      <c r="G31" s="41">
        <v>0</v>
      </c>
      <c r="H31" s="12">
        <f>QualData[[#This Row],[395nm Power Setting (%)]]*16</f>
        <v>0</v>
      </c>
      <c r="I31" s="12">
        <f>QualData[[#This Row],[365nm Power Setting (%)]]*8</f>
        <v>0.8</v>
      </c>
      <c r="J31" s="13">
        <f>QualData[[#This Row],[275nm Power (%)]]*3</f>
        <v>0</v>
      </c>
      <c r="K31">
        <v>60</v>
      </c>
      <c r="L31">
        <f>60*QualData[[#This Row],[395nm Irr. (W/cm2)]]/QualData[[#This Row],[Conveyor Speed (ft/min)]]</f>
        <v>0</v>
      </c>
      <c r="M31">
        <f>60*QualData[[#This Row],[365nm Irr. (W/cm2)]]/QualData[[#This Row],[Conveyor Speed (ft/min)]]</f>
        <v>0.8</v>
      </c>
      <c r="N31">
        <f>60*QualData[[#This Row],[275nm Irr. (W/cm2)]]/QualData[[#This Row],[Conveyor Speed (ft/min)]]</f>
        <v>0</v>
      </c>
      <c r="O31">
        <f>SUM(QualData[[#This Row],[395nm Normalized Dose]:[275nm Normalized Dose]])</f>
        <v>0.8</v>
      </c>
      <c r="P31" t="str">
        <f>IF(QualData[[#This Row],[395nm Normalized Dose]],"395nm",IF(QualData[[#This Row],[365nm Normalized Dose]],"365nm",""))</f>
        <v>365nm</v>
      </c>
      <c r="Q31">
        <v>0.375</v>
      </c>
      <c r="R31" s="28">
        <v>7</v>
      </c>
      <c r="S31" s="28">
        <v>9</v>
      </c>
      <c r="T31" s="28"/>
      <c r="U31" s="28">
        <f>IF(ISNUMBER(INDEX(Table7[Tape],MATCH(QualData[[#This Row],[Trial 1]],Table7[Can],0))),INDEX(Table7[Tape],MATCH(QualData[[#This Row],[Trial 1]],Table7[Can],0)),"")</f>
        <v>0</v>
      </c>
      <c r="V31" s="28" t="str">
        <f>IF(ISNUMBER(INDEX(Table7[Tape],MATCH(QualData[[#This Row],[Trial 2]],Table7[Can],0))),INDEX(Table7[Tape],MATCH(QualData[[#This Row],[Trial 2]],Table7[Can],0)),"")</f>
        <v/>
      </c>
      <c r="W31" s="28" t="str">
        <f>IF(ISNUMBER(INDEX(Table7[Tape],MATCH(QualData[[#This Row],[Trial 3]],Table7[Can],0))),INDEX(Table7[Tape],MATCH(QualData[[#This Row],[Trial 3]],Table7[Can],0)),"")</f>
        <v/>
      </c>
      <c r="X31" s="28" t="str">
        <f>IF(ISNUMBER(INDEX(Table7[Scratch],MATCH(QualData[[#This Row],[Trial 1]],Table7[Can],0))),INDEX(Table7[Scratch],MATCH(QualData[[#This Row],[Trial 1]],Table7[Can],0)),"")</f>
        <v/>
      </c>
      <c r="Y31" s="28" t="str">
        <f>IF(ISNUMBER(INDEX(Table7[Scratch],MATCH(QualData[[#This Row],[Trial 2]],Table7[Can],0))),INDEX(Table7[Scratch],MATCH(QualData[[#This Row],[Trial 2]],Table7[Can],0)),"")</f>
        <v/>
      </c>
      <c r="Z31" s="28" t="str">
        <f>IF(ISNUMBER(INDEX(Table7[Scratch],MATCH(QualData[[#This Row],[Trial 3]],Table7[Can],0))),INDEX(Table7[Scratch],MATCH(QualData[[#This Row],[Trial 3]],Table7[Can],0)),"")</f>
        <v/>
      </c>
      <c r="AA31" s="54">
        <f>IFERROR(AVERAGE(QualData[[#This Row],[Trial 1 Tape Score]:[Trial 3 Tape Score]])/4,"")</f>
        <v>0</v>
      </c>
      <c r="AB31" s="54" t="str">
        <f>IFERROR(AVERAGE(QualData[[#This Row],[Trial 1 Scratch Score]:[Trial 3 Scratch Score]])/4,"")</f>
        <v/>
      </c>
    </row>
    <row r="32" spans="2:32" x14ac:dyDescent="0.25">
      <c r="C32" s="37">
        <v>44384</v>
      </c>
      <c r="D32" s="36">
        <v>7</v>
      </c>
      <c r="E32" s="40"/>
      <c r="F32" s="41">
        <v>0.25</v>
      </c>
      <c r="G32" s="41">
        <v>1</v>
      </c>
      <c r="H32" s="12">
        <f>QualData[[#This Row],[395nm Power Setting (%)]]*16</f>
        <v>0</v>
      </c>
      <c r="I32" s="12">
        <f>QualData[[#This Row],[365nm Power Setting (%)]]*8</f>
        <v>2</v>
      </c>
      <c r="J32" s="13">
        <f>QualData[[#This Row],[275nm Power (%)]]*3</f>
        <v>3</v>
      </c>
      <c r="K32">
        <v>60</v>
      </c>
      <c r="L32">
        <f>60*QualData[[#This Row],[395nm Irr. (W/cm2)]]/QualData[[#This Row],[Conveyor Speed (ft/min)]]</f>
        <v>0</v>
      </c>
      <c r="M32">
        <f>60*QualData[[#This Row],[365nm Irr. (W/cm2)]]/QualData[[#This Row],[Conveyor Speed (ft/min)]]</f>
        <v>2</v>
      </c>
      <c r="N32">
        <f>60*QualData[[#This Row],[275nm Irr. (W/cm2)]]/QualData[[#This Row],[Conveyor Speed (ft/min)]]</f>
        <v>3</v>
      </c>
      <c r="O32">
        <f>SUM(QualData[[#This Row],[395nm Normalized Dose]:[275nm Normalized Dose]])</f>
        <v>5</v>
      </c>
      <c r="P32" t="str">
        <f>IF(QualData[[#This Row],[395nm Normalized Dose]],"395nm",IF(QualData[[#This Row],[365nm Normalized Dose]],"365nm",""))</f>
        <v>365nm</v>
      </c>
      <c r="Q32">
        <v>0.375</v>
      </c>
      <c r="R32" s="28">
        <v>10</v>
      </c>
      <c r="S32" s="28">
        <v>12</v>
      </c>
      <c r="T32" s="28"/>
      <c r="U32" s="28">
        <f>IF(ISNUMBER(INDEX(Table7[Tape],MATCH(QualData[[#This Row],[Trial 1]],Table7[Can],0))),INDEX(Table7[Tape],MATCH(QualData[[#This Row],[Trial 1]],Table7[Can],0)),"")</f>
        <v>4</v>
      </c>
      <c r="V32" s="28" t="str">
        <f>IF(ISNUMBER(INDEX(Table7[Tape],MATCH(QualData[[#This Row],[Trial 2]],Table7[Can],0))),INDEX(Table7[Tape],MATCH(QualData[[#This Row],[Trial 2]],Table7[Can],0)),"")</f>
        <v/>
      </c>
      <c r="W32" s="28" t="str">
        <f>IF(ISNUMBER(INDEX(Table7[Tape],MATCH(QualData[[#This Row],[Trial 3]],Table7[Can],0))),INDEX(Table7[Tape],MATCH(QualData[[#This Row],[Trial 3]],Table7[Can],0)),"")</f>
        <v/>
      </c>
      <c r="X32" s="28">
        <f>IF(ISNUMBER(INDEX(Table7[Scratch],MATCH(QualData[[#This Row],[Trial 1]],Table7[Can],0))),INDEX(Table7[Scratch],MATCH(QualData[[#This Row],[Trial 1]],Table7[Can],0)),"")</f>
        <v>4</v>
      </c>
      <c r="Y32" s="28">
        <f>IF(ISNUMBER(INDEX(Table7[Scratch],MATCH(QualData[[#This Row],[Trial 2]],Table7[Can],0))),INDEX(Table7[Scratch],MATCH(QualData[[#This Row],[Trial 2]],Table7[Can],0)),"")</f>
        <v>4</v>
      </c>
      <c r="Z32" s="28" t="str">
        <f>IF(ISNUMBER(INDEX(Table7[Scratch],MATCH(QualData[[#This Row],[Trial 3]],Table7[Can],0))),INDEX(Table7[Scratch],MATCH(QualData[[#This Row],[Trial 3]],Table7[Can],0)),"")</f>
        <v/>
      </c>
      <c r="AA32" s="54">
        <f>IFERROR(AVERAGE(QualData[[#This Row],[Trial 1 Tape Score]:[Trial 3 Tape Score]])/4,"")</f>
        <v>1</v>
      </c>
      <c r="AB32" s="54">
        <f>IFERROR(AVERAGE(QualData[[#This Row],[Trial 1 Scratch Score]:[Trial 3 Scratch Score]])/4,"")</f>
        <v>1</v>
      </c>
    </row>
    <row r="33" spans="2:28" x14ac:dyDescent="0.25">
      <c r="C33" s="37">
        <v>44384</v>
      </c>
      <c r="D33" s="36">
        <v>8</v>
      </c>
      <c r="E33" s="40"/>
      <c r="F33" s="41">
        <v>0.1</v>
      </c>
      <c r="G33" s="41">
        <v>1</v>
      </c>
      <c r="H33" s="12">
        <f>QualData[[#This Row],[395nm Power Setting (%)]]*16</f>
        <v>0</v>
      </c>
      <c r="I33" s="12">
        <f>QualData[[#This Row],[365nm Power Setting (%)]]*8</f>
        <v>0.8</v>
      </c>
      <c r="J33" s="13">
        <f>QualData[[#This Row],[275nm Power (%)]]*3</f>
        <v>3</v>
      </c>
      <c r="K33">
        <v>60</v>
      </c>
      <c r="L33">
        <f>60*QualData[[#This Row],[395nm Irr. (W/cm2)]]/QualData[[#This Row],[Conveyor Speed (ft/min)]]</f>
        <v>0</v>
      </c>
      <c r="M33">
        <f>60*QualData[[#This Row],[365nm Irr. (W/cm2)]]/QualData[[#This Row],[Conveyor Speed (ft/min)]]</f>
        <v>0.8</v>
      </c>
      <c r="N33">
        <f>60*QualData[[#This Row],[275nm Irr. (W/cm2)]]/QualData[[#This Row],[Conveyor Speed (ft/min)]]</f>
        <v>3</v>
      </c>
      <c r="O33">
        <f>SUM(QualData[[#This Row],[395nm Normalized Dose]:[275nm Normalized Dose]])</f>
        <v>3.8</v>
      </c>
      <c r="P33" t="str">
        <f>IF(QualData[[#This Row],[395nm Normalized Dose]],"395nm",IF(QualData[[#This Row],[365nm Normalized Dose]],"365nm",""))</f>
        <v>365nm</v>
      </c>
      <c r="Q33">
        <v>0.375</v>
      </c>
      <c r="R33" s="28">
        <v>11</v>
      </c>
      <c r="S33" s="28">
        <v>13</v>
      </c>
      <c r="T33" s="28"/>
      <c r="U33" s="28">
        <f>IF(ISNUMBER(INDEX(Table7[Tape],MATCH(QualData[[#This Row],[Trial 1]],Table7[Can],0))),INDEX(Table7[Tape],MATCH(QualData[[#This Row],[Trial 1]],Table7[Can],0)),"")</f>
        <v>2</v>
      </c>
      <c r="V33" s="28" t="str">
        <f>IF(ISNUMBER(INDEX(Table7[Tape],MATCH(QualData[[#This Row],[Trial 2]],Table7[Can],0))),INDEX(Table7[Tape],MATCH(QualData[[#This Row],[Trial 2]],Table7[Can],0)),"")</f>
        <v/>
      </c>
      <c r="W33" s="28" t="str">
        <f>IF(ISNUMBER(INDEX(Table7[Tape],MATCH(QualData[[#This Row],[Trial 3]],Table7[Can],0))),INDEX(Table7[Tape],MATCH(QualData[[#This Row],[Trial 3]],Table7[Can],0)),"")</f>
        <v/>
      </c>
      <c r="X33" s="28">
        <f>IF(ISNUMBER(INDEX(Table7[Scratch],MATCH(QualData[[#This Row],[Trial 1]],Table7[Can],0))),INDEX(Table7[Scratch],MATCH(QualData[[#This Row],[Trial 1]],Table7[Can],0)),"")</f>
        <v>2</v>
      </c>
      <c r="Y33" s="28">
        <f>IF(ISNUMBER(INDEX(Table7[Scratch],MATCH(QualData[[#This Row],[Trial 2]],Table7[Can],0))),INDEX(Table7[Scratch],MATCH(QualData[[#This Row],[Trial 2]],Table7[Can],0)),"")</f>
        <v>0</v>
      </c>
      <c r="Z33" s="28" t="str">
        <f>IF(ISNUMBER(INDEX(Table7[Scratch],MATCH(QualData[[#This Row],[Trial 3]],Table7[Can],0))),INDEX(Table7[Scratch],MATCH(QualData[[#This Row],[Trial 3]],Table7[Can],0)),"")</f>
        <v/>
      </c>
      <c r="AA33" s="54">
        <f>IFERROR(AVERAGE(QualData[[#This Row],[Trial 1 Tape Score]:[Trial 3 Tape Score]])/4,"")</f>
        <v>0.5</v>
      </c>
      <c r="AB33" s="54">
        <f>IFERROR(AVERAGE(QualData[[#This Row],[Trial 1 Scratch Score]:[Trial 3 Scratch Score]])/4,"")</f>
        <v>0.25</v>
      </c>
    </row>
    <row r="34" spans="2:28" x14ac:dyDescent="0.25">
      <c r="C34" s="37">
        <v>44384</v>
      </c>
      <c r="D34" s="36">
        <v>9</v>
      </c>
      <c r="E34" s="40"/>
      <c r="F34" s="41">
        <v>0.5</v>
      </c>
      <c r="G34" s="41">
        <v>0.5</v>
      </c>
      <c r="H34" s="12">
        <f>QualData[[#This Row],[395nm Power Setting (%)]]*16</f>
        <v>0</v>
      </c>
      <c r="I34" s="12">
        <f>QualData[[#This Row],[365nm Power Setting (%)]]*8</f>
        <v>4</v>
      </c>
      <c r="J34" s="13">
        <f>QualData[[#This Row],[275nm Power (%)]]*3</f>
        <v>1.5</v>
      </c>
      <c r="K34">
        <v>60</v>
      </c>
      <c r="L34">
        <f>60*QualData[[#This Row],[395nm Irr. (W/cm2)]]/QualData[[#This Row],[Conveyor Speed (ft/min)]]</f>
        <v>0</v>
      </c>
      <c r="M34">
        <f>60*QualData[[#This Row],[365nm Irr. (W/cm2)]]/QualData[[#This Row],[Conveyor Speed (ft/min)]]</f>
        <v>4</v>
      </c>
      <c r="N34">
        <f>60*QualData[[#This Row],[275nm Irr. (W/cm2)]]/QualData[[#This Row],[Conveyor Speed (ft/min)]]</f>
        <v>1.5</v>
      </c>
      <c r="O34">
        <f>SUM(QualData[[#This Row],[395nm Normalized Dose]:[275nm Normalized Dose]])</f>
        <v>5.5</v>
      </c>
      <c r="P34" t="str">
        <f>IF(QualData[[#This Row],[395nm Normalized Dose]],"395nm",IF(QualData[[#This Row],[365nm Normalized Dose]],"365nm",""))</f>
        <v>365nm</v>
      </c>
      <c r="Q34">
        <v>0.375</v>
      </c>
      <c r="R34" s="28">
        <v>14</v>
      </c>
      <c r="S34" s="28">
        <v>17</v>
      </c>
      <c r="T34" s="28"/>
      <c r="U34" s="28">
        <f>IF(ISNUMBER(INDEX(Table7[Tape],MATCH(QualData[[#This Row],[Trial 1]],Table7[Can],0))),INDEX(Table7[Tape],MATCH(QualData[[#This Row],[Trial 1]],Table7[Can],0)),"")</f>
        <v>2</v>
      </c>
      <c r="V34" s="28" t="str">
        <f>IF(ISNUMBER(INDEX(Table7[Tape],MATCH(QualData[[#This Row],[Trial 2]],Table7[Can],0))),INDEX(Table7[Tape],MATCH(QualData[[#This Row],[Trial 2]],Table7[Can],0)),"")</f>
        <v/>
      </c>
      <c r="W34" s="28" t="str">
        <f>IF(ISNUMBER(INDEX(Table7[Tape],MATCH(QualData[[#This Row],[Trial 3]],Table7[Can],0))),INDEX(Table7[Tape],MATCH(QualData[[#This Row],[Trial 3]],Table7[Can],0)),"")</f>
        <v/>
      </c>
      <c r="X34" s="28">
        <f>IF(ISNUMBER(INDEX(Table7[Scratch],MATCH(QualData[[#This Row],[Trial 1]],Table7[Can],0))),INDEX(Table7[Scratch],MATCH(QualData[[#This Row],[Trial 1]],Table7[Can],0)),"")</f>
        <v>4</v>
      </c>
      <c r="Y34" s="28">
        <f>IF(ISNUMBER(INDEX(Table7[Scratch],MATCH(QualData[[#This Row],[Trial 2]],Table7[Can],0))),INDEX(Table7[Scratch],MATCH(QualData[[#This Row],[Trial 2]],Table7[Can],0)),"")</f>
        <v>4</v>
      </c>
      <c r="Z34" s="28" t="str">
        <f>IF(ISNUMBER(INDEX(Table7[Scratch],MATCH(QualData[[#This Row],[Trial 3]],Table7[Can],0))),INDEX(Table7[Scratch],MATCH(QualData[[#This Row],[Trial 3]],Table7[Can],0)),"")</f>
        <v/>
      </c>
      <c r="AA34" s="54">
        <f>IFERROR(AVERAGE(QualData[[#This Row],[Trial 1 Tape Score]:[Trial 3 Tape Score]])/4,"")</f>
        <v>0.5</v>
      </c>
      <c r="AB34" s="54">
        <f>IFERROR(AVERAGE(QualData[[#This Row],[Trial 1 Scratch Score]:[Trial 3 Scratch Score]])/4,"")</f>
        <v>1</v>
      </c>
    </row>
    <row r="35" spans="2:28" x14ac:dyDescent="0.25">
      <c r="C35" s="37">
        <v>44384</v>
      </c>
      <c r="D35" s="36">
        <v>10</v>
      </c>
      <c r="E35" s="40"/>
      <c r="F35" s="41">
        <v>0.25</v>
      </c>
      <c r="G35" s="41">
        <v>0.5</v>
      </c>
      <c r="H35" s="12">
        <f>QualData[[#This Row],[395nm Power Setting (%)]]*16</f>
        <v>0</v>
      </c>
      <c r="I35" s="12">
        <f>QualData[[#This Row],[365nm Power Setting (%)]]*8</f>
        <v>2</v>
      </c>
      <c r="J35" s="13">
        <f>QualData[[#This Row],[275nm Power (%)]]*3</f>
        <v>1.5</v>
      </c>
      <c r="K35">
        <v>60</v>
      </c>
      <c r="L35">
        <f>60*QualData[[#This Row],[395nm Irr. (W/cm2)]]/QualData[[#This Row],[Conveyor Speed (ft/min)]]</f>
        <v>0</v>
      </c>
      <c r="M35">
        <f>60*QualData[[#This Row],[365nm Irr. (W/cm2)]]/QualData[[#This Row],[Conveyor Speed (ft/min)]]</f>
        <v>2</v>
      </c>
      <c r="N35">
        <f>60*QualData[[#This Row],[275nm Irr. (W/cm2)]]/QualData[[#This Row],[Conveyor Speed (ft/min)]]</f>
        <v>1.5</v>
      </c>
      <c r="O35">
        <f>SUM(QualData[[#This Row],[395nm Normalized Dose]:[275nm Normalized Dose]])</f>
        <v>3.5</v>
      </c>
      <c r="P35" t="str">
        <f>IF(QualData[[#This Row],[395nm Normalized Dose]],"395nm",IF(QualData[[#This Row],[365nm Normalized Dose]],"365nm",""))</f>
        <v>365nm</v>
      </c>
      <c r="Q35">
        <v>0.375</v>
      </c>
      <c r="R35" s="28">
        <v>15</v>
      </c>
      <c r="S35" s="28">
        <v>18</v>
      </c>
      <c r="T35" s="28"/>
      <c r="U35" s="28">
        <f>IF(ISNUMBER(INDEX(Table7[Tape],MATCH(QualData[[#This Row],[Trial 1]],Table7[Can],0))),INDEX(Table7[Tape],MATCH(QualData[[#This Row],[Trial 1]],Table7[Can],0)),"")</f>
        <v>2</v>
      </c>
      <c r="V35" s="28" t="str">
        <f>IF(ISNUMBER(INDEX(Table7[Tape],MATCH(QualData[[#This Row],[Trial 2]],Table7[Can],0))),INDEX(Table7[Tape],MATCH(QualData[[#This Row],[Trial 2]],Table7[Can],0)),"")</f>
        <v/>
      </c>
      <c r="W35" s="28" t="str">
        <f>IF(ISNUMBER(INDEX(Table7[Tape],MATCH(QualData[[#This Row],[Trial 3]],Table7[Can],0))),INDEX(Table7[Tape],MATCH(QualData[[#This Row],[Trial 3]],Table7[Can],0)),"")</f>
        <v/>
      </c>
      <c r="X35" s="28">
        <f>IF(ISNUMBER(INDEX(Table7[Scratch],MATCH(QualData[[#This Row],[Trial 1]],Table7[Can],0))),INDEX(Table7[Scratch],MATCH(QualData[[#This Row],[Trial 1]],Table7[Can],0)),"")</f>
        <v>4</v>
      </c>
      <c r="Y35" s="28">
        <f>IF(ISNUMBER(INDEX(Table7[Scratch],MATCH(QualData[[#This Row],[Trial 2]],Table7[Can],0))),INDEX(Table7[Scratch],MATCH(QualData[[#This Row],[Trial 2]],Table7[Can],0)),"")</f>
        <v>4</v>
      </c>
      <c r="Z35" s="28" t="str">
        <f>IF(ISNUMBER(INDEX(Table7[Scratch],MATCH(QualData[[#This Row],[Trial 3]],Table7[Can],0))),INDEX(Table7[Scratch],MATCH(QualData[[#This Row],[Trial 3]],Table7[Can],0)),"")</f>
        <v/>
      </c>
      <c r="AA35" s="54">
        <f>IFERROR(AVERAGE(QualData[[#This Row],[Trial 1 Tape Score]:[Trial 3 Tape Score]])/4,"")</f>
        <v>0.5</v>
      </c>
      <c r="AB35" s="54">
        <f>IFERROR(AVERAGE(QualData[[#This Row],[Trial 1 Scratch Score]:[Trial 3 Scratch Score]])/4,"")</f>
        <v>1</v>
      </c>
    </row>
    <row r="36" spans="2:28" x14ac:dyDescent="0.25">
      <c r="C36" s="37">
        <v>44384</v>
      </c>
      <c r="D36" s="36">
        <v>11</v>
      </c>
      <c r="E36" s="40"/>
      <c r="F36" s="41">
        <v>0.1</v>
      </c>
      <c r="G36" s="41">
        <v>0.5</v>
      </c>
      <c r="H36" s="12">
        <f>QualData[[#This Row],[395nm Power Setting (%)]]*16</f>
        <v>0</v>
      </c>
      <c r="I36" s="12">
        <f>QualData[[#This Row],[365nm Power Setting (%)]]*8</f>
        <v>0.8</v>
      </c>
      <c r="J36" s="13">
        <f>QualData[[#This Row],[275nm Power (%)]]*3</f>
        <v>1.5</v>
      </c>
      <c r="K36">
        <v>60</v>
      </c>
      <c r="L36">
        <f>60*QualData[[#This Row],[395nm Irr. (W/cm2)]]/QualData[[#This Row],[Conveyor Speed (ft/min)]]</f>
        <v>0</v>
      </c>
      <c r="M36">
        <f>60*QualData[[#This Row],[365nm Irr. (W/cm2)]]/QualData[[#This Row],[Conveyor Speed (ft/min)]]</f>
        <v>0.8</v>
      </c>
      <c r="N36">
        <f>60*QualData[[#This Row],[275nm Irr. (W/cm2)]]/QualData[[#This Row],[Conveyor Speed (ft/min)]]</f>
        <v>1.5</v>
      </c>
      <c r="O36">
        <f>SUM(QualData[[#This Row],[395nm Normalized Dose]:[275nm Normalized Dose]])</f>
        <v>2.2999999999999998</v>
      </c>
      <c r="P36" t="str">
        <f>IF(QualData[[#This Row],[395nm Normalized Dose]],"395nm",IF(QualData[[#This Row],[365nm Normalized Dose]],"365nm",""))</f>
        <v>365nm</v>
      </c>
      <c r="Q36">
        <v>0.375</v>
      </c>
      <c r="R36" s="28">
        <v>16</v>
      </c>
      <c r="S36" s="28">
        <v>19</v>
      </c>
      <c r="T36" s="28"/>
      <c r="U36" s="28">
        <f>IF(ISNUMBER(INDEX(Table7[Tape],MATCH(QualData[[#This Row],[Trial 1]],Table7[Can],0))),INDEX(Table7[Tape],MATCH(QualData[[#This Row],[Trial 1]],Table7[Can],0)),"")</f>
        <v>4</v>
      </c>
      <c r="V36" s="28" t="str">
        <f>IF(ISNUMBER(INDEX(Table7[Tape],MATCH(QualData[[#This Row],[Trial 2]],Table7[Can],0))),INDEX(Table7[Tape],MATCH(QualData[[#This Row],[Trial 2]],Table7[Can],0)),"")</f>
        <v/>
      </c>
      <c r="W36" s="28" t="str">
        <f>IF(ISNUMBER(INDEX(Table7[Tape],MATCH(QualData[[#This Row],[Trial 3]],Table7[Can],0))),INDEX(Table7[Tape],MATCH(QualData[[#This Row],[Trial 3]],Table7[Can],0)),"")</f>
        <v/>
      </c>
      <c r="X36" s="28">
        <f>IF(ISNUMBER(INDEX(Table7[Scratch],MATCH(QualData[[#This Row],[Trial 1]],Table7[Can],0))),INDEX(Table7[Scratch],MATCH(QualData[[#This Row],[Trial 1]],Table7[Can],0)),"")</f>
        <v>4</v>
      </c>
      <c r="Y36" s="28">
        <f>IF(ISNUMBER(INDEX(Table7[Scratch],MATCH(QualData[[#This Row],[Trial 2]],Table7[Can],0))),INDEX(Table7[Scratch],MATCH(QualData[[#This Row],[Trial 2]],Table7[Can],0)),"")</f>
        <v>2</v>
      </c>
      <c r="Z36" s="28" t="str">
        <f>IF(ISNUMBER(INDEX(Table7[Scratch],MATCH(QualData[[#This Row],[Trial 3]],Table7[Can],0))),INDEX(Table7[Scratch],MATCH(QualData[[#This Row],[Trial 3]],Table7[Can],0)),"")</f>
        <v/>
      </c>
      <c r="AA36" s="54">
        <f>IFERROR(AVERAGE(QualData[[#This Row],[Trial 1 Tape Score]:[Trial 3 Tape Score]])/4,"")</f>
        <v>1</v>
      </c>
      <c r="AB36" s="54">
        <f>IFERROR(AVERAGE(QualData[[#This Row],[Trial 1 Scratch Score]:[Trial 3 Scratch Score]])/4,"")</f>
        <v>0.75</v>
      </c>
    </row>
    <row r="37" spans="2:28" x14ac:dyDescent="0.25">
      <c r="C37" s="37">
        <v>44384</v>
      </c>
      <c r="D37" s="36">
        <v>12</v>
      </c>
      <c r="E37" s="40"/>
      <c r="F37" s="41">
        <v>0.25</v>
      </c>
      <c r="G37" s="41">
        <v>1</v>
      </c>
      <c r="H37" s="12">
        <f>QualData[[#This Row],[395nm Power Setting (%)]]*16</f>
        <v>0</v>
      </c>
      <c r="I37" s="12">
        <f>QualData[[#This Row],[365nm Power Setting (%)]]*8</f>
        <v>2</v>
      </c>
      <c r="J37" s="13">
        <f>QualData[[#This Row],[275nm Power (%)]]*3</f>
        <v>3</v>
      </c>
      <c r="K37">
        <v>80</v>
      </c>
      <c r="L37">
        <f>60*QualData[[#This Row],[395nm Irr. (W/cm2)]]/QualData[[#This Row],[Conveyor Speed (ft/min)]]</f>
        <v>0</v>
      </c>
      <c r="M37">
        <f>60*QualData[[#This Row],[365nm Irr. (W/cm2)]]/QualData[[#This Row],[Conveyor Speed (ft/min)]]</f>
        <v>1.5</v>
      </c>
      <c r="N37">
        <f>60*QualData[[#This Row],[275nm Irr. (W/cm2)]]/QualData[[#This Row],[Conveyor Speed (ft/min)]]</f>
        <v>2.25</v>
      </c>
      <c r="O37">
        <f>SUM(QualData[[#This Row],[395nm Normalized Dose]:[275nm Normalized Dose]])</f>
        <v>3.75</v>
      </c>
      <c r="P37" t="str">
        <f>IF(QualData[[#This Row],[395nm Normalized Dose]],"395nm",IF(QualData[[#This Row],[365nm Normalized Dose]],"365nm",""))</f>
        <v>365nm</v>
      </c>
      <c r="Q37">
        <v>0.375</v>
      </c>
      <c r="R37" s="28">
        <v>20</v>
      </c>
      <c r="S37" s="28">
        <v>22</v>
      </c>
      <c r="T37" s="28"/>
      <c r="U37" s="28">
        <f>IF(ISNUMBER(INDEX(Table7[Tape],MATCH(QualData[[#This Row],[Trial 1]],Table7[Can],0))),INDEX(Table7[Tape],MATCH(QualData[[#This Row],[Trial 1]],Table7[Can],0)),"")</f>
        <v>0</v>
      </c>
      <c r="V37" s="28" t="str">
        <f>IF(ISNUMBER(INDEX(Table7[Tape],MATCH(QualData[[#This Row],[Trial 2]],Table7[Can],0))),INDEX(Table7[Tape],MATCH(QualData[[#This Row],[Trial 2]],Table7[Can],0)),"")</f>
        <v/>
      </c>
      <c r="W37" s="28" t="str">
        <f>IF(ISNUMBER(INDEX(Table7[Tape],MATCH(QualData[[#This Row],[Trial 3]],Table7[Can],0))),INDEX(Table7[Tape],MATCH(QualData[[#This Row],[Trial 3]],Table7[Can],0)),"")</f>
        <v/>
      </c>
      <c r="X37" s="28">
        <f>IF(ISNUMBER(INDEX(Table7[Scratch],MATCH(QualData[[#This Row],[Trial 1]],Table7[Can],0))),INDEX(Table7[Scratch],MATCH(QualData[[#This Row],[Trial 1]],Table7[Can],0)),"")</f>
        <v>4</v>
      </c>
      <c r="Y37" s="28">
        <f>IF(ISNUMBER(INDEX(Table7[Scratch],MATCH(QualData[[#This Row],[Trial 2]],Table7[Can],0))),INDEX(Table7[Scratch],MATCH(QualData[[#This Row],[Trial 2]],Table7[Can],0)),"")</f>
        <v>4</v>
      </c>
      <c r="Z37" s="28" t="str">
        <f>IF(ISNUMBER(INDEX(Table7[Scratch],MATCH(QualData[[#This Row],[Trial 3]],Table7[Can],0))),INDEX(Table7[Scratch],MATCH(QualData[[#This Row],[Trial 3]],Table7[Can],0)),"")</f>
        <v/>
      </c>
      <c r="AA37" s="54">
        <f>IFERROR(AVERAGE(QualData[[#This Row],[Trial 1 Tape Score]:[Trial 3 Tape Score]])/4,"")</f>
        <v>0</v>
      </c>
      <c r="AB37" s="54">
        <f>IFERROR(AVERAGE(QualData[[#This Row],[Trial 1 Scratch Score]:[Trial 3 Scratch Score]])/4,"")</f>
        <v>1</v>
      </c>
    </row>
    <row r="38" spans="2:28" x14ac:dyDescent="0.25">
      <c r="C38" s="37">
        <v>44384</v>
      </c>
      <c r="D38" s="36">
        <v>13</v>
      </c>
      <c r="E38" s="40"/>
      <c r="F38" s="41">
        <v>0.1</v>
      </c>
      <c r="G38" s="41">
        <v>1</v>
      </c>
      <c r="H38" s="12">
        <f>QualData[[#This Row],[395nm Power Setting (%)]]*16</f>
        <v>0</v>
      </c>
      <c r="I38" s="12">
        <f>QualData[[#This Row],[365nm Power Setting (%)]]*8</f>
        <v>0.8</v>
      </c>
      <c r="J38" s="13">
        <f>QualData[[#This Row],[275nm Power (%)]]*3</f>
        <v>3</v>
      </c>
      <c r="K38">
        <v>80</v>
      </c>
      <c r="L38">
        <f>60*QualData[[#This Row],[395nm Irr. (W/cm2)]]/QualData[[#This Row],[Conveyor Speed (ft/min)]]</f>
        <v>0</v>
      </c>
      <c r="M38">
        <f>60*QualData[[#This Row],[365nm Irr. (W/cm2)]]/QualData[[#This Row],[Conveyor Speed (ft/min)]]</f>
        <v>0.6</v>
      </c>
      <c r="N38">
        <f>60*QualData[[#This Row],[275nm Irr. (W/cm2)]]/QualData[[#This Row],[Conveyor Speed (ft/min)]]</f>
        <v>2.25</v>
      </c>
      <c r="O38">
        <f>SUM(QualData[[#This Row],[395nm Normalized Dose]:[275nm Normalized Dose]])</f>
        <v>2.85</v>
      </c>
      <c r="P38" t="str">
        <f>IF(QualData[[#This Row],[395nm Normalized Dose]],"395nm",IF(QualData[[#This Row],[365nm Normalized Dose]],"365nm",""))</f>
        <v>365nm</v>
      </c>
      <c r="Q38">
        <v>0.375</v>
      </c>
      <c r="R38" s="28">
        <v>21</v>
      </c>
      <c r="S38" s="28">
        <v>23</v>
      </c>
      <c r="T38" s="28"/>
      <c r="U38" s="28">
        <f>IF(ISNUMBER(INDEX(Table7[Tape],MATCH(QualData[[#This Row],[Trial 1]],Table7[Can],0))),INDEX(Table7[Tape],MATCH(QualData[[#This Row],[Trial 1]],Table7[Can],0)),"")</f>
        <v>0</v>
      </c>
      <c r="V38" s="28" t="str">
        <f>IF(ISNUMBER(INDEX(Table7[Tape],MATCH(QualData[[#This Row],[Trial 2]],Table7[Can],0))),INDEX(Table7[Tape],MATCH(QualData[[#This Row],[Trial 2]],Table7[Can],0)),"")</f>
        <v/>
      </c>
      <c r="W38" s="28" t="str">
        <f>IF(ISNUMBER(INDEX(Table7[Tape],MATCH(QualData[[#This Row],[Trial 3]],Table7[Can],0))),INDEX(Table7[Tape],MATCH(QualData[[#This Row],[Trial 3]],Table7[Can],0)),"")</f>
        <v/>
      </c>
      <c r="X38" s="28">
        <f>IF(ISNUMBER(INDEX(Table7[Scratch],MATCH(QualData[[#This Row],[Trial 1]],Table7[Can],0))),INDEX(Table7[Scratch],MATCH(QualData[[#This Row],[Trial 1]],Table7[Can],0)),"")</f>
        <v>0</v>
      </c>
      <c r="Y38" s="28">
        <f>IF(ISNUMBER(INDEX(Table7[Scratch],MATCH(QualData[[#This Row],[Trial 2]],Table7[Can],0))),INDEX(Table7[Scratch],MATCH(QualData[[#This Row],[Trial 2]],Table7[Can],0)),"")</f>
        <v>0</v>
      </c>
      <c r="Z38" s="28" t="str">
        <f>IF(ISNUMBER(INDEX(Table7[Scratch],MATCH(QualData[[#This Row],[Trial 3]],Table7[Can],0))),INDEX(Table7[Scratch],MATCH(QualData[[#This Row],[Trial 3]],Table7[Can],0)),"")</f>
        <v/>
      </c>
      <c r="AA38" s="54">
        <f>IFERROR(AVERAGE(QualData[[#This Row],[Trial 1 Tape Score]:[Trial 3 Tape Score]])/4,"")</f>
        <v>0</v>
      </c>
      <c r="AB38" s="54">
        <f>IFERROR(AVERAGE(QualData[[#This Row],[Trial 1 Scratch Score]:[Trial 3 Scratch Score]])/4,"")</f>
        <v>0</v>
      </c>
    </row>
    <row r="39" spans="2:28" x14ac:dyDescent="0.25">
      <c r="C39" s="37">
        <v>44385</v>
      </c>
      <c r="D39" s="36">
        <v>14</v>
      </c>
      <c r="E39" s="40"/>
      <c r="F39" s="41">
        <v>0.5</v>
      </c>
      <c r="G39" s="41">
        <v>0</v>
      </c>
      <c r="H39" s="12">
        <f>QualData[[#This Row],[395nm Power Setting (%)]]*16</f>
        <v>0</v>
      </c>
      <c r="I39" s="12">
        <f>QualData[[#This Row],[365nm Power Setting (%)]]*8</f>
        <v>4</v>
      </c>
      <c r="J39" s="13">
        <f>QualData[[#This Row],[275nm Power (%)]]*3</f>
        <v>0</v>
      </c>
      <c r="K39">
        <v>60</v>
      </c>
      <c r="L39">
        <f>60*QualData[[#This Row],[395nm Irr. (W/cm2)]]/QualData[[#This Row],[Conveyor Speed (ft/min)]]</f>
        <v>0</v>
      </c>
      <c r="M39" s="26">
        <f>60*QualData[[#This Row],[365nm Irr. (W/cm2)]]/QualData[[#This Row],[Conveyor Speed (ft/min)]]</f>
        <v>4</v>
      </c>
      <c r="N39" s="26">
        <f>60*QualData[[#This Row],[275nm Irr. (W/cm2)]]/QualData[[#This Row],[Conveyor Speed (ft/min)]]</f>
        <v>0</v>
      </c>
      <c r="O39" s="26">
        <f>SUM(QualData[[#This Row],[395nm Normalized Dose]:[275nm Normalized Dose]])</f>
        <v>4</v>
      </c>
      <c r="P39" s="26" t="str">
        <f>IF(QualData[[#This Row],[395nm Normalized Dose]],"395nm",IF(QualData[[#This Row],[365nm Normalized Dose]],"365nm",""))</f>
        <v>365nm</v>
      </c>
      <c r="Q39">
        <v>0.375</v>
      </c>
      <c r="R39" s="28">
        <v>24</v>
      </c>
      <c r="S39" s="28">
        <v>35</v>
      </c>
      <c r="T39" s="28"/>
      <c r="U39" s="28">
        <f>IF(ISNUMBER(INDEX(Table7[Tape],MATCH(QualData[[#This Row],[Trial 1]],Table7[Can],0))),INDEX(Table7[Tape],MATCH(QualData[[#This Row],[Trial 1]],Table7[Can],0)),"")</f>
        <v>1</v>
      </c>
      <c r="V39" s="28">
        <f>IF(ISNUMBER(INDEX(Table7[Tape],MATCH(QualData[[#This Row],[Trial 2]],Table7[Can],0))),INDEX(Table7[Tape],MATCH(QualData[[#This Row],[Trial 2]],Table7[Can],0)),"")</f>
        <v>0.5</v>
      </c>
      <c r="W39" s="28" t="str">
        <f>IF(ISNUMBER(INDEX(Table7[Tape],MATCH(QualData[[#This Row],[Trial 3]],Table7[Can],0))),INDEX(Table7[Tape],MATCH(QualData[[#This Row],[Trial 3]],Table7[Can],0)),"")</f>
        <v/>
      </c>
      <c r="X39" s="28">
        <f>IF(ISNUMBER(INDEX(Table7[Scratch],MATCH(QualData[[#This Row],[Trial 1]],Table7[Can],0))),INDEX(Table7[Scratch],MATCH(QualData[[#This Row],[Trial 1]],Table7[Can],0)),"")</f>
        <v>4</v>
      </c>
      <c r="Y39" s="28">
        <f>IF(ISNUMBER(INDEX(Table7[Scratch],MATCH(QualData[[#This Row],[Trial 2]],Table7[Can],0))),INDEX(Table7[Scratch],MATCH(QualData[[#This Row],[Trial 2]],Table7[Can],0)),"")</f>
        <v>4</v>
      </c>
      <c r="Z39" s="28" t="str">
        <f>IF(ISNUMBER(INDEX(Table7[Scratch],MATCH(QualData[[#This Row],[Trial 3]],Table7[Can],0))),INDEX(Table7[Scratch],MATCH(QualData[[#This Row],[Trial 3]],Table7[Can],0)),"")</f>
        <v/>
      </c>
      <c r="AA39" s="54">
        <f>IFERROR(AVERAGE(QualData[[#This Row],[Trial 1 Tape Score]:[Trial 3 Tape Score]])/4,"")</f>
        <v>0.1875</v>
      </c>
      <c r="AB39" s="54">
        <f>IFERROR(AVERAGE(QualData[[#This Row],[Trial 1 Scratch Score]:[Trial 3 Scratch Score]])/4,"")</f>
        <v>1</v>
      </c>
    </row>
    <row r="40" spans="2:28" x14ac:dyDescent="0.25">
      <c r="C40" s="37">
        <v>44385</v>
      </c>
      <c r="D40" s="36">
        <v>15</v>
      </c>
      <c r="E40" s="40"/>
      <c r="F40" s="41">
        <v>0.5</v>
      </c>
      <c r="G40" s="41">
        <v>0.5</v>
      </c>
      <c r="H40" s="12">
        <f>QualData[[#This Row],[395nm Power Setting (%)]]*16</f>
        <v>0</v>
      </c>
      <c r="I40" s="12">
        <f>QualData[[#This Row],[365nm Power Setting (%)]]*8</f>
        <v>4</v>
      </c>
      <c r="J40" s="13">
        <f>QualData[[#This Row],[275nm Power (%)]]*3</f>
        <v>1.5</v>
      </c>
      <c r="K40">
        <v>60</v>
      </c>
      <c r="L40">
        <f>60*QualData[[#This Row],[395nm Irr. (W/cm2)]]/QualData[[#This Row],[Conveyor Speed (ft/min)]]</f>
        <v>0</v>
      </c>
      <c r="M40" s="26">
        <f>60*QualData[[#This Row],[365nm Irr. (W/cm2)]]/QualData[[#This Row],[Conveyor Speed (ft/min)]]</f>
        <v>4</v>
      </c>
      <c r="N40" s="26">
        <f>60*QualData[[#This Row],[275nm Irr. (W/cm2)]]/QualData[[#This Row],[Conveyor Speed (ft/min)]]</f>
        <v>1.5</v>
      </c>
      <c r="O40" s="26">
        <f>SUM(QualData[[#This Row],[395nm Normalized Dose]:[275nm Normalized Dose]])</f>
        <v>5.5</v>
      </c>
      <c r="P40" s="26" t="str">
        <f>IF(QualData[[#This Row],[395nm Normalized Dose]],"395nm",IF(QualData[[#This Row],[365nm Normalized Dose]],"365nm",""))</f>
        <v>365nm</v>
      </c>
      <c r="Q40">
        <v>0.375</v>
      </c>
      <c r="R40" s="28">
        <v>25</v>
      </c>
      <c r="S40" s="28">
        <v>36</v>
      </c>
      <c r="T40" s="28">
        <v>46</v>
      </c>
      <c r="U40" s="28">
        <f>IF(ISNUMBER(INDEX(Table7[Tape],MATCH(QualData[[#This Row],[Trial 1]],Table7[Can],0))),INDEX(Table7[Tape],MATCH(QualData[[#This Row],[Trial 1]],Table7[Can],0)),"")</f>
        <v>1</v>
      </c>
      <c r="V40" s="28">
        <f>IF(ISNUMBER(INDEX(Table7[Tape],MATCH(QualData[[#This Row],[Trial 2]],Table7[Can],0))),INDEX(Table7[Tape],MATCH(QualData[[#This Row],[Trial 2]],Table7[Can],0)),"")</f>
        <v>2</v>
      </c>
      <c r="W40" s="28">
        <f>IF(ISNUMBER(INDEX(Table7[Tape],MATCH(QualData[[#This Row],[Trial 3]],Table7[Can],0))),INDEX(Table7[Tape],MATCH(QualData[[#This Row],[Trial 3]],Table7[Can],0)),"")</f>
        <v>2</v>
      </c>
      <c r="X40" s="28">
        <f>IF(ISNUMBER(INDEX(Table7[Scratch],MATCH(QualData[[#This Row],[Trial 1]],Table7[Can],0))),INDEX(Table7[Scratch],MATCH(QualData[[#This Row],[Trial 1]],Table7[Can],0)),"")</f>
        <v>2</v>
      </c>
      <c r="Y40" s="28">
        <f>IF(ISNUMBER(INDEX(Table7[Scratch],MATCH(QualData[[#This Row],[Trial 2]],Table7[Can],0))),INDEX(Table7[Scratch],MATCH(QualData[[#This Row],[Trial 2]],Table7[Can],0)),"")</f>
        <v>4</v>
      </c>
      <c r="Z40" s="28">
        <f>IF(ISNUMBER(INDEX(Table7[Scratch],MATCH(QualData[[#This Row],[Trial 3]],Table7[Can],0))),INDEX(Table7[Scratch],MATCH(QualData[[#This Row],[Trial 3]],Table7[Can],0)),"")</f>
        <v>4</v>
      </c>
      <c r="AA40" s="54">
        <f>IFERROR(AVERAGE(QualData[[#This Row],[Trial 1 Tape Score]:[Trial 3 Tape Score]])/4,"")</f>
        <v>0.41666666666666669</v>
      </c>
      <c r="AB40" s="54">
        <f>IFERROR(AVERAGE(QualData[[#This Row],[Trial 1 Scratch Score]:[Trial 3 Scratch Score]])/4,"")</f>
        <v>0.83333333333333337</v>
      </c>
    </row>
    <row r="41" spans="2:28" x14ac:dyDescent="0.25">
      <c r="B41" s="22"/>
      <c r="C41" s="37">
        <v>44385</v>
      </c>
      <c r="D41" s="36">
        <v>16</v>
      </c>
      <c r="E41" s="40"/>
      <c r="F41" s="40">
        <v>0.5</v>
      </c>
      <c r="G41" s="41">
        <v>1</v>
      </c>
      <c r="H41" s="12">
        <f>QualData[[#This Row],[395nm Power Setting (%)]]*16</f>
        <v>0</v>
      </c>
      <c r="I41" s="23">
        <f>QualData[[#This Row],[365nm Power Setting (%)]]*8</f>
        <v>4</v>
      </c>
      <c r="J41" s="24">
        <f>QualData[[#This Row],[275nm Power (%)]]*3</f>
        <v>3</v>
      </c>
      <c r="K41">
        <v>60</v>
      </c>
      <c r="L41">
        <f>60*QualData[[#This Row],[395nm Irr. (W/cm2)]]/QualData[[#This Row],[Conveyor Speed (ft/min)]]</f>
        <v>0</v>
      </c>
      <c r="M41" s="27">
        <f>60*QualData[[#This Row],[365nm Irr. (W/cm2)]]/QualData[[#This Row],[Conveyor Speed (ft/min)]]</f>
        <v>4</v>
      </c>
      <c r="N41" s="26">
        <f>60*QualData[[#This Row],[275nm Irr. (W/cm2)]]/QualData[[#This Row],[Conveyor Speed (ft/min)]]</f>
        <v>3</v>
      </c>
      <c r="O41" s="26">
        <f>SUM(QualData[[#This Row],[395nm Normalized Dose]:[275nm Normalized Dose]])</f>
        <v>7</v>
      </c>
      <c r="P41" s="26" t="str">
        <f>IF(QualData[[#This Row],[395nm Normalized Dose]],"395nm",IF(QualData[[#This Row],[365nm Normalized Dose]],"365nm",""))</f>
        <v>365nm</v>
      </c>
      <c r="Q41">
        <v>0.375</v>
      </c>
      <c r="R41" s="28">
        <v>26</v>
      </c>
      <c r="S41" s="28">
        <v>37</v>
      </c>
      <c r="T41" s="28"/>
      <c r="U41" s="28">
        <f>IF(ISNUMBER(INDEX(Table7[Tape],MATCH(QualData[[#This Row],[Trial 1]],Table7[Can],0))),INDEX(Table7[Tape],MATCH(QualData[[#This Row],[Trial 1]],Table7[Can],0)),"")</f>
        <v>3</v>
      </c>
      <c r="V41" s="28">
        <f>IF(ISNUMBER(INDEX(Table7[Tape],MATCH(QualData[[#This Row],[Trial 2]],Table7[Can],0))),INDEX(Table7[Tape],MATCH(QualData[[#This Row],[Trial 2]],Table7[Can],0)),"")</f>
        <v>3</v>
      </c>
      <c r="W41" s="28" t="str">
        <f>IF(ISNUMBER(INDEX(Table7[Tape],MATCH(QualData[[#This Row],[Trial 3]],Table7[Can],0))),INDEX(Table7[Tape],MATCH(QualData[[#This Row],[Trial 3]],Table7[Can],0)),"")</f>
        <v/>
      </c>
      <c r="X41" s="28">
        <f>IF(ISNUMBER(INDEX(Table7[Scratch],MATCH(QualData[[#This Row],[Trial 1]],Table7[Can],0))),INDEX(Table7[Scratch],MATCH(QualData[[#This Row],[Trial 1]],Table7[Can],0)),"")</f>
        <v>4</v>
      </c>
      <c r="Y41" s="28">
        <f>IF(ISNUMBER(INDEX(Table7[Scratch],MATCH(QualData[[#This Row],[Trial 2]],Table7[Can],0))),INDEX(Table7[Scratch],MATCH(QualData[[#This Row],[Trial 2]],Table7[Can],0)),"")</f>
        <v>4</v>
      </c>
      <c r="Z41" s="28" t="str">
        <f>IF(ISNUMBER(INDEX(Table7[Scratch],MATCH(QualData[[#This Row],[Trial 3]],Table7[Can],0))),INDEX(Table7[Scratch],MATCH(QualData[[#This Row],[Trial 3]],Table7[Can],0)),"")</f>
        <v/>
      </c>
      <c r="AA41" s="54">
        <f>IFERROR(AVERAGE(QualData[[#This Row],[Trial 1 Tape Score]:[Trial 3 Tape Score]])/4,"")</f>
        <v>0.75</v>
      </c>
      <c r="AB41" s="54">
        <f>IFERROR(AVERAGE(QualData[[#This Row],[Trial 1 Scratch Score]:[Trial 3 Scratch Score]])/4,"")</f>
        <v>1</v>
      </c>
    </row>
    <row r="42" spans="2:28" x14ac:dyDescent="0.25">
      <c r="B42" s="25"/>
      <c r="C42" s="37">
        <v>44385</v>
      </c>
      <c r="D42" s="36">
        <v>17</v>
      </c>
      <c r="E42" s="40"/>
      <c r="F42" s="40">
        <v>0.25</v>
      </c>
      <c r="G42" s="40">
        <v>0</v>
      </c>
      <c r="H42" s="23">
        <f>QualData[[#This Row],[395nm Power Setting (%)]]*16</f>
        <v>0</v>
      </c>
      <c r="I42" s="23">
        <f>QualData[[#This Row],[365nm Power Setting (%)]]*8</f>
        <v>2</v>
      </c>
      <c r="J42" s="24">
        <f>QualData[[#This Row],[275nm Power (%)]]*3</f>
        <v>0</v>
      </c>
      <c r="K42">
        <v>60</v>
      </c>
      <c r="L42">
        <f>60*QualData[[#This Row],[395nm Irr. (W/cm2)]]/QualData[[#This Row],[Conveyor Speed (ft/min)]]</f>
        <v>0</v>
      </c>
      <c r="M42" s="27">
        <f>60*QualData[[#This Row],[365nm Irr. (W/cm2)]]/QualData[[#This Row],[Conveyor Speed (ft/min)]]</f>
        <v>2</v>
      </c>
      <c r="N42" s="26">
        <f>60*QualData[[#This Row],[275nm Irr. (W/cm2)]]/QualData[[#This Row],[Conveyor Speed (ft/min)]]</f>
        <v>0</v>
      </c>
      <c r="O42" s="26">
        <f>SUM(QualData[[#This Row],[395nm Normalized Dose]:[275nm Normalized Dose]])</f>
        <v>2</v>
      </c>
      <c r="P42" s="26" t="str">
        <f>IF(QualData[[#This Row],[395nm Normalized Dose]],"395nm",IF(QualData[[#This Row],[365nm Normalized Dose]],"365nm",""))</f>
        <v>365nm</v>
      </c>
      <c r="Q42">
        <v>0.375</v>
      </c>
      <c r="R42" s="28">
        <v>27</v>
      </c>
      <c r="S42" s="28">
        <v>38</v>
      </c>
      <c r="T42" s="28"/>
      <c r="U42" s="28">
        <f>IF(ISNUMBER(INDEX(Table7[Tape],MATCH(QualData[[#This Row],[Trial 1]],Table7[Can],0))),INDEX(Table7[Tape],MATCH(QualData[[#This Row],[Trial 1]],Table7[Can],0)),"")</f>
        <v>0</v>
      </c>
      <c r="V42" s="28">
        <f>IF(ISNUMBER(INDEX(Table7[Tape],MATCH(QualData[[#This Row],[Trial 2]],Table7[Can],0))),INDEX(Table7[Tape],MATCH(QualData[[#This Row],[Trial 2]],Table7[Can],0)),"")</f>
        <v>0.5</v>
      </c>
      <c r="W42" s="28" t="str">
        <f>IF(ISNUMBER(INDEX(Table7[Tape],MATCH(QualData[[#This Row],[Trial 3]],Table7[Can],0))),INDEX(Table7[Tape],MATCH(QualData[[#This Row],[Trial 3]],Table7[Can],0)),"")</f>
        <v/>
      </c>
      <c r="X42" s="28">
        <f>IF(ISNUMBER(INDEX(Table7[Scratch],MATCH(QualData[[#This Row],[Trial 1]],Table7[Can],0))),INDEX(Table7[Scratch],MATCH(QualData[[#This Row],[Trial 1]],Table7[Can],0)),"")</f>
        <v>4</v>
      </c>
      <c r="Y42" s="28">
        <f>IF(ISNUMBER(INDEX(Table7[Scratch],MATCH(QualData[[#This Row],[Trial 2]],Table7[Can],0))),INDEX(Table7[Scratch],MATCH(QualData[[#This Row],[Trial 2]],Table7[Can],0)),"")</f>
        <v>4</v>
      </c>
      <c r="Z42" s="28" t="str">
        <f>IF(ISNUMBER(INDEX(Table7[Scratch],MATCH(QualData[[#This Row],[Trial 3]],Table7[Can],0))),INDEX(Table7[Scratch],MATCH(QualData[[#This Row],[Trial 3]],Table7[Can],0)),"")</f>
        <v/>
      </c>
      <c r="AA42" s="54">
        <f>IFERROR(AVERAGE(QualData[[#This Row],[Trial 1 Tape Score]:[Trial 3 Tape Score]])/4,"")</f>
        <v>6.25E-2</v>
      </c>
      <c r="AB42" s="54">
        <f>IFERROR(AVERAGE(QualData[[#This Row],[Trial 1 Scratch Score]:[Trial 3 Scratch Score]])/4,"")</f>
        <v>1</v>
      </c>
    </row>
    <row r="43" spans="2:28" x14ac:dyDescent="0.25">
      <c r="B43" s="25"/>
      <c r="C43" s="37">
        <v>44385</v>
      </c>
      <c r="D43" s="36">
        <v>18</v>
      </c>
      <c r="E43" s="40"/>
      <c r="F43" s="40">
        <v>0.25</v>
      </c>
      <c r="G43" s="40">
        <v>0.5</v>
      </c>
      <c r="H43" s="23">
        <f>QualData[[#This Row],[395nm Power Setting (%)]]*16</f>
        <v>0</v>
      </c>
      <c r="I43" s="23">
        <f>QualData[[#This Row],[365nm Power Setting (%)]]*8</f>
        <v>2</v>
      </c>
      <c r="J43" s="24">
        <f>QualData[[#This Row],[275nm Power (%)]]*3</f>
        <v>1.5</v>
      </c>
      <c r="K43">
        <v>60</v>
      </c>
      <c r="L43">
        <f>60*QualData[[#This Row],[395nm Irr. (W/cm2)]]/QualData[[#This Row],[Conveyor Speed (ft/min)]]</f>
        <v>0</v>
      </c>
      <c r="M43" s="27">
        <f>60*QualData[[#This Row],[365nm Irr. (W/cm2)]]/QualData[[#This Row],[Conveyor Speed (ft/min)]]</f>
        <v>2</v>
      </c>
      <c r="N43" s="26">
        <f>60*QualData[[#This Row],[275nm Irr. (W/cm2)]]/QualData[[#This Row],[Conveyor Speed (ft/min)]]</f>
        <v>1.5</v>
      </c>
      <c r="O43" s="26">
        <f>SUM(QualData[[#This Row],[395nm Normalized Dose]:[275nm Normalized Dose]])</f>
        <v>3.5</v>
      </c>
      <c r="P43" s="26" t="str">
        <f>IF(QualData[[#This Row],[395nm Normalized Dose]],"395nm",IF(QualData[[#This Row],[365nm Normalized Dose]],"365nm",""))</f>
        <v>365nm</v>
      </c>
      <c r="Q43">
        <v>0.375</v>
      </c>
      <c r="R43" s="28">
        <v>28</v>
      </c>
      <c r="S43" s="28">
        <v>39</v>
      </c>
      <c r="T43" s="28"/>
      <c r="U43" s="28">
        <f>IF(ISNUMBER(INDEX(Table7[Tape],MATCH(QualData[[#This Row],[Trial 1]],Table7[Can],0))),INDEX(Table7[Tape],MATCH(QualData[[#This Row],[Trial 1]],Table7[Can],0)),"")</f>
        <v>1.5</v>
      </c>
      <c r="V43" s="28">
        <f>IF(ISNUMBER(INDEX(Table7[Tape],MATCH(QualData[[#This Row],[Trial 2]],Table7[Can],0))),INDEX(Table7[Tape],MATCH(QualData[[#This Row],[Trial 2]],Table7[Can],0)),"")</f>
        <v>1.5</v>
      </c>
      <c r="W43" s="28" t="str">
        <f>IF(ISNUMBER(INDEX(Table7[Tape],MATCH(QualData[[#This Row],[Trial 3]],Table7[Can],0))),INDEX(Table7[Tape],MATCH(QualData[[#This Row],[Trial 3]],Table7[Can],0)),"")</f>
        <v/>
      </c>
      <c r="X43" s="28">
        <f>IF(ISNUMBER(INDEX(Table7[Scratch],MATCH(QualData[[#This Row],[Trial 1]],Table7[Can],0))),INDEX(Table7[Scratch],MATCH(QualData[[#This Row],[Trial 1]],Table7[Can],0)),"")</f>
        <v>4</v>
      </c>
      <c r="Y43" s="28">
        <f>IF(ISNUMBER(INDEX(Table7[Scratch],MATCH(QualData[[#This Row],[Trial 2]],Table7[Can],0))),INDEX(Table7[Scratch],MATCH(QualData[[#This Row],[Trial 2]],Table7[Can],0)),"")</f>
        <v>4</v>
      </c>
      <c r="Z43" s="28" t="str">
        <f>IF(ISNUMBER(INDEX(Table7[Scratch],MATCH(QualData[[#This Row],[Trial 3]],Table7[Can],0))),INDEX(Table7[Scratch],MATCH(QualData[[#This Row],[Trial 3]],Table7[Can],0)),"")</f>
        <v/>
      </c>
      <c r="AA43" s="54">
        <f>IFERROR(AVERAGE(QualData[[#This Row],[Trial 1 Tape Score]:[Trial 3 Tape Score]])/4,"")</f>
        <v>0.375</v>
      </c>
      <c r="AB43" s="54">
        <f>IFERROR(AVERAGE(QualData[[#This Row],[Trial 1 Scratch Score]:[Trial 3 Scratch Score]])/4,"")</f>
        <v>1</v>
      </c>
    </row>
    <row r="44" spans="2:28" ht="15" customHeight="1" x14ac:dyDescent="0.25">
      <c r="B44" s="22"/>
      <c r="C44" s="37">
        <v>44385</v>
      </c>
      <c r="D44" s="36">
        <v>19</v>
      </c>
      <c r="E44" s="40"/>
      <c r="F44" s="40">
        <v>0.25</v>
      </c>
      <c r="G44" s="41">
        <v>1</v>
      </c>
      <c r="H44" s="12">
        <f>QualData[[#This Row],[395nm Power Setting (%)]]*16</f>
        <v>0</v>
      </c>
      <c r="I44" s="23">
        <f>QualData[[#This Row],[365nm Power Setting (%)]]*8</f>
        <v>2</v>
      </c>
      <c r="J44" s="24">
        <f>QualData[[#This Row],[275nm Power (%)]]*3</f>
        <v>3</v>
      </c>
      <c r="K44">
        <v>60</v>
      </c>
      <c r="L44">
        <f>60*QualData[[#This Row],[395nm Irr. (W/cm2)]]/QualData[[#This Row],[Conveyor Speed (ft/min)]]</f>
        <v>0</v>
      </c>
      <c r="M44" s="27">
        <f>60*QualData[[#This Row],[365nm Irr. (W/cm2)]]/QualData[[#This Row],[Conveyor Speed (ft/min)]]</f>
        <v>2</v>
      </c>
      <c r="N44" s="26">
        <f>60*QualData[[#This Row],[275nm Irr. (W/cm2)]]/QualData[[#This Row],[Conveyor Speed (ft/min)]]</f>
        <v>3</v>
      </c>
      <c r="O44" s="26">
        <f>SUM(QualData[[#This Row],[395nm Normalized Dose]:[275nm Normalized Dose]])</f>
        <v>5</v>
      </c>
      <c r="P44" s="26" t="str">
        <f>IF(QualData[[#This Row],[395nm Normalized Dose]],"395nm",IF(QualData[[#This Row],[365nm Normalized Dose]],"365nm",""))</f>
        <v>365nm</v>
      </c>
      <c r="Q44">
        <v>0.375</v>
      </c>
      <c r="R44" s="28">
        <v>29</v>
      </c>
      <c r="S44" s="28">
        <v>40</v>
      </c>
      <c r="T44" s="28"/>
      <c r="U44" s="28">
        <f>IF(ISNUMBER(INDEX(Table7[Tape],MATCH(QualData[[#This Row],[Trial 1]],Table7[Can],0))),INDEX(Table7[Tape],MATCH(QualData[[#This Row],[Trial 1]],Table7[Can],0)),"")</f>
        <v>3</v>
      </c>
      <c r="V44" s="28">
        <f>IF(ISNUMBER(INDEX(Table7[Tape],MATCH(QualData[[#This Row],[Trial 2]],Table7[Can],0))),INDEX(Table7[Tape],MATCH(QualData[[#This Row],[Trial 2]],Table7[Can],0)),"")</f>
        <v>3</v>
      </c>
      <c r="W44" s="28" t="str">
        <f>IF(ISNUMBER(INDEX(Table7[Tape],MATCH(QualData[[#This Row],[Trial 3]],Table7[Can],0))),INDEX(Table7[Tape],MATCH(QualData[[#This Row],[Trial 3]],Table7[Can],0)),"")</f>
        <v/>
      </c>
      <c r="X44" s="28">
        <f>IF(ISNUMBER(INDEX(Table7[Scratch],MATCH(QualData[[#This Row],[Trial 1]],Table7[Can],0))),INDEX(Table7[Scratch],MATCH(QualData[[#This Row],[Trial 1]],Table7[Can],0)),"")</f>
        <v>3</v>
      </c>
      <c r="Y44" s="28">
        <f>IF(ISNUMBER(INDEX(Table7[Scratch],MATCH(QualData[[#This Row],[Trial 2]],Table7[Can],0))),INDEX(Table7[Scratch],MATCH(QualData[[#This Row],[Trial 2]],Table7[Can],0)),"")</f>
        <v>3</v>
      </c>
      <c r="Z44" s="28" t="str">
        <f>IF(ISNUMBER(INDEX(Table7[Scratch],MATCH(QualData[[#This Row],[Trial 3]],Table7[Can],0))),INDEX(Table7[Scratch],MATCH(QualData[[#This Row],[Trial 3]],Table7[Can],0)),"")</f>
        <v/>
      </c>
      <c r="AA44" s="54">
        <f>IFERROR(AVERAGE(QualData[[#This Row],[Trial 1 Tape Score]:[Trial 3 Tape Score]])/4,"")</f>
        <v>0.75</v>
      </c>
      <c r="AB44" s="54">
        <f>IFERROR(AVERAGE(QualData[[#This Row],[Trial 1 Scratch Score]:[Trial 3 Scratch Score]])/4,"")</f>
        <v>0.75</v>
      </c>
    </row>
    <row r="45" spans="2:28" x14ac:dyDescent="0.25">
      <c r="B45" s="22"/>
      <c r="C45" s="37">
        <v>44385</v>
      </c>
      <c r="D45" s="36">
        <v>20</v>
      </c>
      <c r="E45" s="40"/>
      <c r="F45" s="40">
        <v>0.1</v>
      </c>
      <c r="G45" s="40">
        <v>0</v>
      </c>
      <c r="H45" s="23">
        <f>QualData[[#This Row],[395nm Power Setting (%)]]*16</f>
        <v>0</v>
      </c>
      <c r="I45" s="23">
        <f>QualData[[#This Row],[365nm Power Setting (%)]]*8</f>
        <v>0.8</v>
      </c>
      <c r="J45" s="24">
        <f>QualData[[#This Row],[275nm Power (%)]]*3</f>
        <v>0</v>
      </c>
      <c r="K45">
        <v>60</v>
      </c>
      <c r="L45">
        <f>60*QualData[[#This Row],[395nm Irr. (W/cm2)]]/QualData[[#This Row],[Conveyor Speed (ft/min)]]</f>
        <v>0</v>
      </c>
      <c r="M45" s="27">
        <f>60*QualData[[#This Row],[365nm Irr. (W/cm2)]]/QualData[[#This Row],[Conveyor Speed (ft/min)]]</f>
        <v>0.8</v>
      </c>
      <c r="N45" s="26">
        <f>60*QualData[[#This Row],[275nm Irr. (W/cm2)]]/QualData[[#This Row],[Conveyor Speed (ft/min)]]</f>
        <v>0</v>
      </c>
      <c r="O45" s="26">
        <f>SUM(QualData[[#This Row],[395nm Normalized Dose]:[275nm Normalized Dose]])</f>
        <v>0.8</v>
      </c>
      <c r="P45" s="26" t="str">
        <f>IF(QualData[[#This Row],[395nm Normalized Dose]],"395nm",IF(QualData[[#This Row],[365nm Normalized Dose]],"365nm",""))</f>
        <v>365nm</v>
      </c>
      <c r="Q45">
        <v>0.375</v>
      </c>
      <c r="R45" s="28">
        <v>30</v>
      </c>
      <c r="S45" s="28">
        <v>41</v>
      </c>
      <c r="T45" s="28"/>
      <c r="U45" s="28">
        <f>IF(ISNUMBER(INDEX(Table7[Tape],MATCH(QualData[[#This Row],[Trial 1]],Table7[Can],0))),INDEX(Table7[Tape],MATCH(QualData[[#This Row],[Trial 1]],Table7[Can],0)),"")</f>
        <v>0</v>
      </c>
      <c r="V45" s="28">
        <f>IF(ISNUMBER(INDEX(Table7[Tape],MATCH(QualData[[#This Row],[Trial 2]],Table7[Can],0))),INDEX(Table7[Tape],MATCH(QualData[[#This Row],[Trial 2]],Table7[Can],0)),"")/4</f>
        <v>0</v>
      </c>
      <c r="W45" s="28" t="str">
        <f>IF(ISNUMBER(INDEX(Table7[Tape],MATCH(QualData[[#This Row],[Trial 3]],Table7[Can],0))),INDEX(Table7[Tape],MATCH(QualData[[#This Row],[Trial 3]],Table7[Can],0)),"")</f>
        <v/>
      </c>
      <c r="X45" s="28">
        <f>IF(ISNUMBER(INDEX(Table7[Scratch],MATCH(QualData[[#This Row],[Trial 1]],Table7[Can],0))),INDEX(Table7[Scratch],MATCH(QualData[[#This Row],[Trial 1]],Table7[Can],0)),"")</f>
        <v>0</v>
      </c>
      <c r="Y45" s="28">
        <f>IF(ISNUMBER(INDEX(Table7[Scratch],MATCH(QualData[[#This Row],[Trial 2]],Table7[Can],0))),INDEX(Table7[Scratch],MATCH(QualData[[#This Row],[Trial 2]],Table7[Can],0)),"")</f>
        <v>0</v>
      </c>
      <c r="Z45" s="28" t="str">
        <f>IF(ISNUMBER(INDEX(Table7[Scratch],MATCH(QualData[[#This Row],[Trial 3]],Table7[Can],0))),INDEX(Table7[Scratch],MATCH(QualData[[#This Row],[Trial 3]],Table7[Can],0)),"")</f>
        <v/>
      </c>
      <c r="AA45" s="54">
        <f>IFERROR(AVERAGE(QualData[[#This Row],[Trial 1 Tape Score]:[Trial 3 Tape Score]])/4,"")</f>
        <v>0</v>
      </c>
      <c r="AB45" s="54">
        <f>IFERROR(AVERAGE(QualData[[#This Row],[Trial 1 Scratch Score]:[Trial 3 Scratch Score]])/4,"")</f>
        <v>0</v>
      </c>
    </row>
    <row r="46" spans="2:28" x14ac:dyDescent="0.25">
      <c r="C46" s="37">
        <v>44385</v>
      </c>
      <c r="D46" s="36">
        <v>21</v>
      </c>
      <c r="E46" s="40"/>
      <c r="F46" s="41">
        <v>0.1</v>
      </c>
      <c r="G46" s="41">
        <v>0.5</v>
      </c>
      <c r="H46" s="12">
        <f>QualData[[#This Row],[395nm Power Setting (%)]]*16</f>
        <v>0</v>
      </c>
      <c r="I46" s="12">
        <f>QualData[[#This Row],[365nm Power Setting (%)]]*8</f>
        <v>0.8</v>
      </c>
      <c r="J46" s="13">
        <f>QualData[[#This Row],[275nm Power (%)]]*3</f>
        <v>1.5</v>
      </c>
      <c r="K46">
        <v>60</v>
      </c>
      <c r="L46">
        <f>60*QualData[[#This Row],[395nm Irr. (W/cm2)]]/QualData[[#This Row],[Conveyor Speed (ft/min)]]</f>
        <v>0</v>
      </c>
      <c r="M46" s="26">
        <f>60*QualData[[#This Row],[365nm Irr. (W/cm2)]]/QualData[[#This Row],[Conveyor Speed (ft/min)]]</f>
        <v>0.8</v>
      </c>
      <c r="N46" s="26">
        <f>60*QualData[[#This Row],[275nm Irr. (W/cm2)]]/QualData[[#This Row],[Conveyor Speed (ft/min)]]</f>
        <v>1.5</v>
      </c>
      <c r="O46" s="26">
        <f>SUM(QualData[[#This Row],[395nm Normalized Dose]:[275nm Normalized Dose]])</f>
        <v>2.2999999999999998</v>
      </c>
      <c r="P46" s="26" t="str">
        <f>IF(QualData[[#This Row],[395nm Normalized Dose]],"395nm",IF(QualData[[#This Row],[365nm Normalized Dose]],"365nm",""))</f>
        <v>365nm</v>
      </c>
      <c r="Q46">
        <v>0.375</v>
      </c>
      <c r="R46" s="28">
        <v>31</v>
      </c>
      <c r="S46" s="28">
        <v>42</v>
      </c>
      <c r="T46" s="28"/>
      <c r="U46" s="28">
        <f>IF(ISNUMBER(INDEX(Table7[Tape],MATCH(QualData[[#This Row],[Trial 1]],Table7[Can],0))),INDEX(Table7[Tape],MATCH(QualData[[#This Row],[Trial 1]],Table7[Can],0)),"")</f>
        <v>1</v>
      </c>
      <c r="V46" s="28">
        <f>IF(ISNUMBER(INDEX(Table7[Tape],MATCH(QualData[[#This Row],[Trial 2]],Table7[Can],0))),INDEX(Table7[Tape],MATCH(QualData[[#This Row],[Trial 2]],Table7[Can],0)),"")</f>
        <v>2</v>
      </c>
      <c r="W46" s="28" t="str">
        <f>IF(ISNUMBER(INDEX(Table7[Tape],MATCH(QualData[[#This Row],[Trial 3]],Table7[Can],0))),INDEX(Table7[Tape],MATCH(QualData[[#This Row],[Trial 3]],Table7[Can],0)),"")</f>
        <v/>
      </c>
      <c r="X46" s="28">
        <f>IF(ISNUMBER(INDEX(Table7[Scratch],MATCH(QualData[[#This Row],[Trial 1]],Table7[Can],0))),INDEX(Table7[Scratch],MATCH(QualData[[#This Row],[Trial 1]],Table7[Can],0)),"")</f>
        <v>1</v>
      </c>
      <c r="Y46" s="28">
        <f>IF(ISNUMBER(INDEX(Table7[Scratch],MATCH(QualData[[#This Row],[Trial 2]],Table7[Can],0))),INDEX(Table7[Scratch],MATCH(QualData[[#This Row],[Trial 2]],Table7[Can],0)),"")</f>
        <v>4</v>
      </c>
      <c r="Z46" s="28" t="str">
        <f>IF(ISNUMBER(INDEX(Table7[Scratch],MATCH(QualData[[#This Row],[Trial 3]],Table7[Can],0))),INDEX(Table7[Scratch],MATCH(QualData[[#This Row],[Trial 3]],Table7[Can],0)),"")</f>
        <v/>
      </c>
      <c r="AA46" s="54">
        <f>IFERROR(AVERAGE(QualData[[#This Row],[Trial 1 Tape Score]:[Trial 3 Tape Score]])/4,"")</f>
        <v>0.375</v>
      </c>
      <c r="AB46" s="54">
        <f>IFERROR(AVERAGE(QualData[[#This Row],[Trial 1 Scratch Score]:[Trial 3 Scratch Score]])/4,"")</f>
        <v>0.625</v>
      </c>
    </row>
    <row r="47" spans="2:28" x14ac:dyDescent="0.25">
      <c r="C47" s="37">
        <v>44385</v>
      </c>
      <c r="D47" s="36">
        <v>22</v>
      </c>
      <c r="E47" s="40"/>
      <c r="F47" s="41">
        <v>0.1</v>
      </c>
      <c r="G47" s="41">
        <v>1</v>
      </c>
      <c r="H47" s="12">
        <f>QualData[[#This Row],[395nm Power Setting (%)]]*16</f>
        <v>0</v>
      </c>
      <c r="I47" s="12">
        <f>QualData[[#This Row],[365nm Power Setting (%)]]*8</f>
        <v>0.8</v>
      </c>
      <c r="J47" s="13">
        <f>QualData[[#This Row],[275nm Power (%)]]*3</f>
        <v>3</v>
      </c>
      <c r="K47">
        <v>60</v>
      </c>
      <c r="L47">
        <f>60*QualData[[#This Row],[395nm Irr. (W/cm2)]]/QualData[[#This Row],[Conveyor Speed (ft/min)]]</f>
        <v>0</v>
      </c>
      <c r="M47" s="26">
        <f>60*QualData[[#This Row],[365nm Irr. (W/cm2)]]/QualData[[#This Row],[Conveyor Speed (ft/min)]]</f>
        <v>0.8</v>
      </c>
      <c r="N47" s="26">
        <f>60*QualData[[#This Row],[275nm Irr. (W/cm2)]]/QualData[[#This Row],[Conveyor Speed (ft/min)]]</f>
        <v>3</v>
      </c>
      <c r="O47" s="26">
        <f>SUM(QualData[[#This Row],[395nm Normalized Dose]:[275nm Normalized Dose]])</f>
        <v>3.8</v>
      </c>
      <c r="P47" s="26" t="str">
        <f>IF(QualData[[#This Row],[395nm Normalized Dose]],"395nm",IF(QualData[[#This Row],[365nm Normalized Dose]],"365nm",""))</f>
        <v>365nm</v>
      </c>
      <c r="Q47">
        <v>0.375</v>
      </c>
      <c r="R47" s="28">
        <v>32</v>
      </c>
      <c r="S47" s="28">
        <v>43</v>
      </c>
      <c r="T47" s="28"/>
      <c r="U47" s="28">
        <f>IF(ISNUMBER(INDEX(Table7[Tape],MATCH(QualData[[#This Row],[Trial 1]],Table7[Can],0))),INDEX(Table7[Tape],MATCH(QualData[[#This Row],[Trial 1]],Table7[Can],0)),"")</f>
        <v>2</v>
      </c>
      <c r="V47" s="28">
        <f>IF(ISNUMBER(INDEX(Table7[Tape],MATCH(QualData[[#This Row],[Trial 2]],Table7[Can],0))),INDEX(Table7[Tape],MATCH(QualData[[#This Row],[Trial 2]],Table7[Can],0)),"")</f>
        <v>2.5</v>
      </c>
      <c r="W47" s="28" t="str">
        <f>IF(ISNUMBER(INDEX(Table7[Tape],MATCH(QualData[[#This Row],[Trial 3]],Table7[Can],0))),INDEX(Table7[Tape],MATCH(QualData[[#This Row],[Trial 3]],Table7[Can],0)),"")</f>
        <v/>
      </c>
      <c r="X47" s="28">
        <f>IF(ISNUMBER(INDEX(Table7[Scratch],MATCH(QualData[[#This Row],[Trial 1]],Table7[Can],0))),INDEX(Table7[Scratch],MATCH(QualData[[#This Row],[Trial 1]],Table7[Can],0)),"")</f>
        <v>3</v>
      </c>
      <c r="Y47" s="28">
        <f>IF(ISNUMBER(INDEX(Table7[Scratch],MATCH(QualData[[#This Row],[Trial 2]],Table7[Can],0))),INDEX(Table7[Scratch],MATCH(QualData[[#This Row],[Trial 2]],Table7[Can],0)),"")</f>
        <v>4</v>
      </c>
      <c r="Z47" s="28" t="str">
        <f>IF(ISNUMBER(INDEX(Table7[Scratch],MATCH(QualData[[#This Row],[Trial 3]],Table7[Can],0))),INDEX(Table7[Scratch],MATCH(QualData[[#This Row],[Trial 3]],Table7[Can],0)),"")</f>
        <v/>
      </c>
      <c r="AA47" s="54">
        <f>IFERROR(AVERAGE(QualData[[#This Row],[Trial 1 Tape Score]:[Trial 3 Tape Score]])/4,"")</f>
        <v>0.5625</v>
      </c>
      <c r="AB47" s="54">
        <f>IFERROR(AVERAGE(QualData[[#This Row],[Trial 1 Scratch Score]:[Trial 3 Scratch Score]])/4,"")</f>
        <v>0.875</v>
      </c>
    </row>
    <row r="48" spans="2:28" x14ac:dyDescent="0.25">
      <c r="C48" s="37">
        <v>44385</v>
      </c>
      <c r="D48" s="36">
        <v>23</v>
      </c>
      <c r="E48" s="40"/>
      <c r="F48" s="41">
        <v>0.05</v>
      </c>
      <c r="G48" s="41">
        <v>0.5</v>
      </c>
      <c r="H48" s="12">
        <f>QualData[[#This Row],[395nm Power Setting (%)]]*16</f>
        <v>0</v>
      </c>
      <c r="I48" s="12">
        <f>QualData[[#This Row],[365nm Power Setting (%)]]*8</f>
        <v>0.4</v>
      </c>
      <c r="J48" s="13">
        <f>QualData[[#This Row],[275nm Power (%)]]*3</f>
        <v>1.5</v>
      </c>
      <c r="K48">
        <v>60</v>
      </c>
      <c r="L48">
        <f>60*QualData[[#This Row],[395nm Irr. (W/cm2)]]/QualData[[#This Row],[Conveyor Speed (ft/min)]]</f>
        <v>0</v>
      </c>
      <c r="M48" s="26">
        <f>60*QualData[[#This Row],[365nm Irr. (W/cm2)]]/QualData[[#This Row],[Conveyor Speed (ft/min)]]</f>
        <v>0.4</v>
      </c>
      <c r="N48" s="26">
        <f>60*QualData[[#This Row],[275nm Irr. (W/cm2)]]/QualData[[#This Row],[Conveyor Speed (ft/min)]]</f>
        <v>1.5</v>
      </c>
      <c r="O48" s="26">
        <f>SUM(QualData[[#This Row],[395nm Normalized Dose]:[275nm Normalized Dose]])</f>
        <v>1.9</v>
      </c>
      <c r="P48" s="26" t="str">
        <f>IF(QualData[[#This Row],[395nm Normalized Dose]],"395nm",IF(QualData[[#This Row],[365nm Normalized Dose]],"365nm",""))</f>
        <v>365nm</v>
      </c>
      <c r="Q48">
        <v>0.375</v>
      </c>
      <c r="R48" s="28">
        <v>33</v>
      </c>
      <c r="S48" s="28">
        <v>44</v>
      </c>
      <c r="T48" s="28"/>
      <c r="U48" s="28">
        <f>IF(ISNUMBER(INDEX(Table7[Tape],MATCH(QualData[[#This Row],[Trial 1]],Table7[Can],0))),INDEX(Table7[Tape],MATCH(QualData[[#This Row],[Trial 1]],Table7[Can],0)),"")</f>
        <v>1</v>
      </c>
      <c r="V48" s="28">
        <f>IF(ISNUMBER(INDEX(Table7[Tape],MATCH(QualData[[#This Row],[Trial 2]],Table7[Can],0))),INDEX(Table7[Tape],MATCH(QualData[[#This Row],[Trial 2]],Table7[Can],0)),"")</f>
        <v>1</v>
      </c>
      <c r="W48" s="28" t="str">
        <f>IF(ISNUMBER(INDEX(Table7[Tape],MATCH(QualData[[#This Row],[Trial 3]],Table7[Can],0))),INDEX(Table7[Tape],MATCH(QualData[[#This Row],[Trial 3]],Table7[Can],0)),"")</f>
        <v/>
      </c>
      <c r="X48" s="28">
        <f>IF(ISNUMBER(INDEX(Table7[Scratch],MATCH(QualData[[#This Row],[Trial 1]],Table7[Can],0))),INDEX(Table7[Scratch],MATCH(QualData[[#This Row],[Trial 1]],Table7[Can],0)),"")</f>
        <v>0</v>
      </c>
      <c r="Y48" s="28">
        <f>IF(ISNUMBER(INDEX(Table7[Scratch],MATCH(QualData[[#This Row],[Trial 2]],Table7[Can],0))),INDEX(Table7[Scratch],MATCH(QualData[[#This Row],[Trial 2]],Table7[Can],0)),"")</f>
        <v>0</v>
      </c>
      <c r="Z48" s="28" t="str">
        <f>IF(ISNUMBER(INDEX(Table7[Scratch],MATCH(QualData[[#This Row],[Trial 3]],Table7[Can],0))),INDEX(Table7[Scratch],MATCH(QualData[[#This Row],[Trial 3]],Table7[Can],0)),"")</f>
        <v/>
      </c>
      <c r="AA48" s="54">
        <f>IFERROR(AVERAGE(QualData[[#This Row],[Trial 1 Tape Score]:[Trial 3 Tape Score]])/4,"")</f>
        <v>0.25</v>
      </c>
      <c r="AB48" s="54">
        <f>IFERROR(AVERAGE(QualData[[#This Row],[Trial 1 Scratch Score]:[Trial 3 Scratch Score]])/4,"")</f>
        <v>0</v>
      </c>
    </row>
    <row r="49" spans="3:28" x14ac:dyDescent="0.25">
      <c r="C49" s="37">
        <v>44385</v>
      </c>
      <c r="D49" s="36">
        <v>24</v>
      </c>
      <c r="E49" s="40"/>
      <c r="F49" s="41">
        <v>0.05</v>
      </c>
      <c r="G49" s="41">
        <v>1</v>
      </c>
      <c r="H49" s="12">
        <f>QualData[[#This Row],[395nm Power Setting (%)]]*16</f>
        <v>0</v>
      </c>
      <c r="I49" s="12">
        <f>QualData[[#This Row],[365nm Power Setting (%)]]*8</f>
        <v>0.4</v>
      </c>
      <c r="J49" s="13">
        <f>QualData[[#This Row],[275nm Power (%)]]*3</f>
        <v>3</v>
      </c>
      <c r="K49">
        <v>60</v>
      </c>
      <c r="L49">
        <f>60*QualData[[#This Row],[395nm Irr. (W/cm2)]]/QualData[[#This Row],[Conveyor Speed (ft/min)]]</f>
        <v>0</v>
      </c>
      <c r="M49" s="26">
        <f>60*QualData[[#This Row],[365nm Irr. (W/cm2)]]/QualData[[#This Row],[Conveyor Speed (ft/min)]]</f>
        <v>0.4</v>
      </c>
      <c r="N49" s="26">
        <f>60*QualData[[#This Row],[275nm Irr. (W/cm2)]]/QualData[[#This Row],[Conveyor Speed (ft/min)]]</f>
        <v>3</v>
      </c>
      <c r="O49" s="26">
        <f>SUM(QualData[[#This Row],[395nm Normalized Dose]:[275nm Normalized Dose]])</f>
        <v>3.4</v>
      </c>
      <c r="P49" s="26" t="str">
        <f>IF(QualData[[#This Row],[395nm Normalized Dose]],"395nm",IF(QualData[[#This Row],[365nm Normalized Dose]],"365nm",""))</f>
        <v>365nm</v>
      </c>
      <c r="Q49">
        <v>0.375</v>
      </c>
      <c r="R49" s="28">
        <v>34</v>
      </c>
      <c r="S49" s="28">
        <v>45</v>
      </c>
      <c r="T49" s="28"/>
      <c r="U49" s="28">
        <f>IF(ISNUMBER(INDEX(Table7[Tape],MATCH(QualData[[#This Row],[Trial 1]],Table7[Can],0))),INDEX(Table7[Tape],MATCH(QualData[[#This Row],[Trial 1]],Table7[Can],0)),"")</f>
        <v>1.5</v>
      </c>
      <c r="V49" s="28">
        <f>IF(ISNUMBER(INDEX(Table7[Tape],MATCH(QualData[[#This Row],[Trial 2]],Table7[Can],0))),INDEX(Table7[Tape],MATCH(QualData[[#This Row],[Trial 2]],Table7[Can],0)),"")</f>
        <v>1</v>
      </c>
      <c r="W49" s="28" t="str">
        <f>IF(ISNUMBER(INDEX(Table7[Tape],MATCH(QualData[[#This Row],[Trial 3]],Table7[Can],0))),INDEX(Table7[Tape],MATCH(QualData[[#This Row],[Trial 3]],Table7[Can],0)),"")</f>
        <v/>
      </c>
      <c r="X49" s="28">
        <f>IF(ISNUMBER(INDEX(Table7[Scratch],MATCH(QualData[[#This Row],[Trial 1]],Table7[Can],0))),INDEX(Table7[Scratch],MATCH(QualData[[#This Row],[Trial 1]],Table7[Can],0)),"")</f>
        <v>0</v>
      </c>
      <c r="Y49" s="28">
        <f>IF(ISNUMBER(INDEX(Table7[Scratch],MATCH(QualData[[#This Row],[Trial 2]],Table7[Can],0))),INDEX(Table7[Scratch],MATCH(QualData[[#This Row],[Trial 2]],Table7[Can],0)),"")</f>
        <v>1</v>
      </c>
      <c r="Z49" s="28" t="str">
        <f>IF(ISNUMBER(INDEX(Table7[Scratch],MATCH(QualData[[#This Row],[Trial 3]],Table7[Can],0))),INDEX(Table7[Scratch],MATCH(QualData[[#This Row],[Trial 3]],Table7[Can],0)),"")</f>
        <v/>
      </c>
      <c r="AA49" s="54">
        <f>IFERROR(AVERAGE(QualData[[#This Row],[Trial 1 Tape Score]:[Trial 3 Tape Score]])/4,"")</f>
        <v>0.3125</v>
      </c>
      <c r="AB49" s="54">
        <f>IFERROR(AVERAGE(QualData[[#This Row],[Trial 1 Scratch Score]:[Trial 3 Scratch Score]])/4,"")</f>
        <v>0.125</v>
      </c>
    </row>
    <row r="50" spans="3:28" x14ac:dyDescent="0.25">
      <c r="C50" s="37">
        <v>44385</v>
      </c>
      <c r="D50" s="36">
        <v>25</v>
      </c>
      <c r="E50" s="40"/>
      <c r="F50" s="40">
        <v>1</v>
      </c>
      <c r="G50" s="40">
        <v>0</v>
      </c>
      <c r="H50" s="23">
        <f>QualData[[#This Row],[395nm Power Setting (%)]]*16</f>
        <v>0</v>
      </c>
      <c r="I50" s="23">
        <f>QualData[[#This Row],[365nm Power Setting (%)]]*8</f>
        <v>8</v>
      </c>
      <c r="J50" s="24">
        <f>QualData[[#This Row],[275nm Power (%)]]*3</f>
        <v>0</v>
      </c>
      <c r="K50" s="22">
        <v>30</v>
      </c>
      <c r="L50" s="22">
        <f>60*QualData[[#This Row],[395nm Irr. (W/cm2)]]/QualData[[#This Row],[Conveyor Speed (ft/min)]]</f>
        <v>0</v>
      </c>
      <c r="M50" s="27">
        <f>60*QualData[[#This Row],[365nm Irr. (W/cm2)]]/QualData[[#This Row],[Conveyor Speed (ft/min)]]</f>
        <v>16</v>
      </c>
      <c r="N50" s="27">
        <f>60*QualData[[#This Row],[275nm Irr. (W/cm2)]]/QualData[[#This Row],[Conveyor Speed (ft/min)]]</f>
        <v>0</v>
      </c>
      <c r="O50" s="27">
        <f>SUM(QualData[[#This Row],[395nm Normalized Dose]:[275nm Normalized Dose]])</f>
        <v>16</v>
      </c>
      <c r="P50" s="27" t="str">
        <f>IF(QualData[[#This Row],[395nm Normalized Dose]],"395nm",IF(QualData[[#This Row],[365nm Normalized Dose]],"365nm",""))</f>
        <v>365nm</v>
      </c>
      <c r="Q50" s="22">
        <v>0.375</v>
      </c>
      <c r="R50" s="28">
        <v>47</v>
      </c>
      <c r="S50" s="28">
        <v>57</v>
      </c>
      <c r="T50" s="28"/>
      <c r="U50" s="28">
        <f>IF(ISNUMBER(INDEX(Table7[Tape],MATCH(QualData[[#This Row],[Trial 1]],Table7[Can],0))),INDEX(Table7[Tape],MATCH(QualData[[#This Row],[Trial 1]],Table7[Can],0)),"")</f>
        <v>2</v>
      </c>
      <c r="V50" s="28">
        <f>IF(ISNUMBER(INDEX(Table7[Tape],MATCH(QualData[[#This Row],[Trial 2]],Table7[Can],0))),INDEX(Table7[Tape],MATCH(QualData[[#This Row],[Trial 2]],Table7[Can],0)),"")</f>
        <v>2</v>
      </c>
      <c r="W50" s="28" t="str">
        <f>IF(ISNUMBER(INDEX(Table7[Tape],MATCH(QualData[[#This Row],[Trial 3]],Table7[Can],0))),INDEX(Table7[Tape],MATCH(QualData[[#This Row],[Trial 3]],Table7[Can],0)),"")</f>
        <v/>
      </c>
      <c r="X50" s="28">
        <f>IF(ISNUMBER(INDEX(Table7[Scratch],MATCH(QualData[[#This Row],[Trial 1]],Table7[Can],0))),INDEX(Table7[Scratch],MATCH(QualData[[#This Row],[Trial 1]],Table7[Can],0)),"")</f>
        <v>4</v>
      </c>
      <c r="Y50" s="28">
        <f>IF(ISNUMBER(INDEX(Table7[Scratch],MATCH(QualData[[#This Row],[Trial 2]],Table7[Can],0))),INDEX(Table7[Scratch],MATCH(QualData[[#This Row],[Trial 2]],Table7[Can],0)),"")</f>
        <v>4</v>
      </c>
      <c r="Z50" s="28" t="str">
        <f>IF(ISNUMBER(INDEX(Table7[Scratch],MATCH(QualData[[#This Row],[Trial 3]],Table7[Can],0))),INDEX(Table7[Scratch],MATCH(QualData[[#This Row],[Trial 3]],Table7[Can],0)),"")</f>
        <v/>
      </c>
      <c r="AA50" s="54">
        <f>IFERROR(AVERAGE(QualData[[#This Row],[Trial 1 Tape Score]:[Trial 3 Tape Score]])/4,"")</f>
        <v>0.5</v>
      </c>
      <c r="AB50" s="54">
        <f>IFERROR(AVERAGE(QualData[[#This Row],[Trial 1 Scratch Score]:[Trial 3 Scratch Score]])/4,"")</f>
        <v>1</v>
      </c>
    </row>
    <row r="51" spans="3:28" x14ac:dyDescent="0.25">
      <c r="C51" s="37">
        <v>44385</v>
      </c>
      <c r="D51" s="36">
        <v>26</v>
      </c>
      <c r="E51" s="40"/>
      <c r="F51" s="40">
        <v>1</v>
      </c>
      <c r="G51" s="40">
        <v>0.25</v>
      </c>
      <c r="H51" s="23">
        <f>QualData[[#This Row],[395nm Power Setting (%)]]*16</f>
        <v>0</v>
      </c>
      <c r="I51" s="23">
        <f>QualData[[#This Row],[365nm Power Setting (%)]]*8</f>
        <v>8</v>
      </c>
      <c r="J51" s="24">
        <f>QualData[[#This Row],[275nm Power (%)]]*3</f>
        <v>0.75</v>
      </c>
      <c r="K51" s="22">
        <v>30</v>
      </c>
      <c r="L51" s="22">
        <f>60*QualData[[#This Row],[395nm Irr. (W/cm2)]]/QualData[[#This Row],[Conveyor Speed (ft/min)]]</f>
        <v>0</v>
      </c>
      <c r="M51" s="27">
        <f>60*QualData[[#This Row],[365nm Irr. (W/cm2)]]/QualData[[#This Row],[Conveyor Speed (ft/min)]]</f>
        <v>16</v>
      </c>
      <c r="N51" s="27">
        <f>60*QualData[[#This Row],[275nm Irr. (W/cm2)]]/QualData[[#This Row],[Conveyor Speed (ft/min)]]</f>
        <v>1.5</v>
      </c>
      <c r="O51" s="27">
        <f>SUM(QualData[[#This Row],[395nm Normalized Dose]:[275nm Normalized Dose]])</f>
        <v>17.5</v>
      </c>
      <c r="P51" s="27" t="str">
        <f>IF(QualData[[#This Row],[395nm Normalized Dose]],"395nm",IF(QualData[[#This Row],[365nm Normalized Dose]],"365nm",""))</f>
        <v>365nm</v>
      </c>
      <c r="Q51" s="22">
        <v>0.375</v>
      </c>
      <c r="R51" s="28">
        <v>48</v>
      </c>
      <c r="S51" s="28">
        <v>58</v>
      </c>
      <c r="T51" s="28"/>
      <c r="U51" s="28">
        <f>IF(ISNUMBER(INDEX(Table7[Tape],MATCH(QualData[[#This Row],[Trial 1]],Table7[Can],0))),INDEX(Table7[Tape],MATCH(QualData[[#This Row],[Trial 1]],Table7[Can],0)),"")</f>
        <v>1</v>
      </c>
      <c r="V51" s="28">
        <f>IF(ISNUMBER(INDEX(Table7[Tape],MATCH(QualData[[#This Row],[Trial 2]],Table7[Can],0))),INDEX(Table7[Tape],MATCH(QualData[[#This Row],[Trial 2]],Table7[Can],0)),"")</f>
        <v>2</v>
      </c>
      <c r="W51" s="28" t="str">
        <f>IF(ISNUMBER(INDEX(Table7[Tape],MATCH(QualData[[#This Row],[Trial 3]],Table7[Can],0))),INDEX(Table7[Tape],MATCH(QualData[[#This Row],[Trial 3]],Table7[Can],0)),"")</f>
        <v/>
      </c>
      <c r="X51" s="28">
        <f>IF(ISNUMBER(INDEX(Table7[Scratch],MATCH(QualData[[#This Row],[Trial 1]],Table7[Can],0))),INDEX(Table7[Scratch],MATCH(QualData[[#This Row],[Trial 1]],Table7[Can],0)),"")</f>
        <v>4</v>
      </c>
      <c r="Y51" s="28">
        <f>IF(ISNUMBER(INDEX(Table7[Scratch],MATCH(QualData[[#This Row],[Trial 2]],Table7[Can],0))),INDEX(Table7[Scratch],MATCH(QualData[[#This Row],[Trial 2]],Table7[Can],0)),"")</f>
        <v>4</v>
      </c>
      <c r="Z51" s="28" t="str">
        <f>IF(ISNUMBER(INDEX(Table7[Scratch],MATCH(QualData[[#This Row],[Trial 3]],Table7[Can],0))),INDEX(Table7[Scratch],MATCH(QualData[[#This Row],[Trial 3]],Table7[Can],0)),"")</f>
        <v/>
      </c>
      <c r="AA51" s="54">
        <f>IFERROR(AVERAGE(QualData[[#This Row],[Trial 1 Tape Score]:[Trial 3 Tape Score]])/4,"")</f>
        <v>0.375</v>
      </c>
      <c r="AB51" s="54">
        <f>IFERROR(AVERAGE(QualData[[#This Row],[Trial 1 Scratch Score]:[Trial 3 Scratch Score]])/4,"")</f>
        <v>1</v>
      </c>
    </row>
    <row r="52" spans="3:28" x14ac:dyDescent="0.25">
      <c r="C52" s="37">
        <v>44385</v>
      </c>
      <c r="D52" s="36">
        <v>27</v>
      </c>
      <c r="E52" s="40"/>
      <c r="F52" s="40">
        <v>1</v>
      </c>
      <c r="G52" s="40">
        <v>0.5</v>
      </c>
      <c r="H52" s="23">
        <f>QualData[[#This Row],[395nm Power Setting (%)]]*16</f>
        <v>0</v>
      </c>
      <c r="I52" s="23">
        <f>QualData[[#This Row],[365nm Power Setting (%)]]*8</f>
        <v>8</v>
      </c>
      <c r="J52" s="24">
        <f>QualData[[#This Row],[275nm Power (%)]]*3</f>
        <v>1.5</v>
      </c>
      <c r="K52" s="22">
        <v>30</v>
      </c>
      <c r="L52" s="22">
        <f>60*QualData[[#This Row],[395nm Irr. (W/cm2)]]/QualData[[#This Row],[Conveyor Speed (ft/min)]]</f>
        <v>0</v>
      </c>
      <c r="M52" s="27">
        <f>60*QualData[[#This Row],[365nm Irr. (W/cm2)]]/QualData[[#This Row],[Conveyor Speed (ft/min)]]</f>
        <v>16</v>
      </c>
      <c r="N52" s="42">
        <f>60*QualData[[#This Row],[275nm Irr. (W/cm2)]]/QualData[[#This Row],[Conveyor Speed (ft/min)]]</f>
        <v>3</v>
      </c>
      <c r="O52" s="42">
        <f>SUM(QualData[[#This Row],[395nm Normalized Dose]:[275nm Normalized Dose]])</f>
        <v>19</v>
      </c>
      <c r="P52" s="42" t="str">
        <f>IF(QualData[[#This Row],[395nm Normalized Dose]],"395nm",IF(QualData[[#This Row],[365nm Normalized Dose]],"365nm",""))</f>
        <v>365nm</v>
      </c>
      <c r="Q52" s="22">
        <v>0.375</v>
      </c>
      <c r="R52" s="28">
        <v>49</v>
      </c>
      <c r="S52" s="28">
        <v>59</v>
      </c>
      <c r="T52" s="28"/>
      <c r="U52" s="28">
        <f>IF(ISNUMBER(INDEX(Table7[Tape],MATCH(QualData[[#This Row],[Trial 1]],Table7[Can],0))),INDEX(Table7[Tape],MATCH(QualData[[#This Row],[Trial 1]],Table7[Can],0)),"")</f>
        <v>3</v>
      </c>
      <c r="V52" s="28">
        <f>IF(ISNUMBER(INDEX(Table7[Tape],MATCH(QualData[[#This Row],[Trial 2]],Table7[Can],0))),INDEX(Table7[Tape],MATCH(QualData[[#This Row],[Trial 2]],Table7[Can],0)),"")</f>
        <v>3</v>
      </c>
      <c r="W52" s="28" t="str">
        <f>IF(ISNUMBER(INDEX(Table7[Tape],MATCH(QualData[[#This Row],[Trial 3]],Table7[Can],0))),INDEX(Table7[Tape],MATCH(QualData[[#This Row],[Trial 3]],Table7[Can],0)),"")</f>
        <v/>
      </c>
      <c r="X52" s="28">
        <f>IF(ISNUMBER(INDEX(Table7[Scratch],MATCH(QualData[[#This Row],[Trial 1]],Table7[Can],0))),INDEX(Table7[Scratch],MATCH(QualData[[#This Row],[Trial 1]],Table7[Can],0)),"")</f>
        <v>4</v>
      </c>
      <c r="Y52" s="28">
        <f>IF(ISNUMBER(INDEX(Table7[Scratch],MATCH(QualData[[#This Row],[Trial 2]],Table7[Can],0))),INDEX(Table7[Scratch],MATCH(QualData[[#This Row],[Trial 2]],Table7[Can],0)),"")</f>
        <v>4</v>
      </c>
      <c r="Z52" s="28" t="str">
        <f>IF(ISNUMBER(INDEX(Table7[Scratch],MATCH(QualData[[#This Row],[Trial 3]],Table7[Can],0))),INDEX(Table7[Scratch],MATCH(QualData[[#This Row],[Trial 3]],Table7[Can],0)),"")</f>
        <v/>
      </c>
      <c r="AA52" s="54">
        <f>IFERROR(AVERAGE(QualData[[#This Row],[Trial 1 Tape Score]:[Trial 3 Tape Score]])/4,"")</f>
        <v>0.75</v>
      </c>
      <c r="AB52" s="54">
        <f>IFERROR(AVERAGE(QualData[[#This Row],[Trial 1 Scratch Score]:[Trial 3 Scratch Score]])/4,"")</f>
        <v>1</v>
      </c>
    </row>
    <row r="53" spans="3:28" x14ac:dyDescent="0.25">
      <c r="C53" s="37">
        <v>44385</v>
      </c>
      <c r="D53" s="36">
        <v>28</v>
      </c>
      <c r="E53" s="40"/>
      <c r="F53" s="40">
        <v>1</v>
      </c>
      <c r="G53" s="40">
        <v>0.75</v>
      </c>
      <c r="H53" s="23">
        <f>QualData[[#This Row],[395nm Power Setting (%)]]*16</f>
        <v>0</v>
      </c>
      <c r="I53" s="23">
        <f>QualData[[#This Row],[365nm Power Setting (%)]]*8</f>
        <v>8</v>
      </c>
      <c r="J53" s="24">
        <f>QualData[[#This Row],[275nm Power (%)]]*3</f>
        <v>2.25</v>
      </c>
      <c r="K53" s="22">
        <v>30</v>
      </c>
      <c r="L53" s="22">
        <f>60*QualData[[#This Row],[395nm Irr. (W/cm2)]]/QualData[[#This Row],[Conveyor Speed (ft/min)]]</f>
        <v>0</v>
      </c>
      <c r="M53" s="27">
        <f>60*QualData[[#This Row],[365nm Irr. (W/cm2)]]/QualData[[#This Row],[Conveyor Speed (ft/min)]]</f>
        <v>16</v>
      </c>
      <c r="N53" s="42">
        <f>60*QualData[[#This Row],[275nm Irr. (W/cm2)]]/QualData[[#This Row],[Conveyor Speed (ft/min)]]</f>
        <v>4.5</v>
      </c>
      <c r="O53" s="42">
        <f>SUM(QualData[[#This Row],[395nm Normalized Dose]:[275nm Normalized Dose]])</f>
        <v>20.5</v>
      </c>
      <c r="P53" s="42" t="str">
        <f>IF(QualData[[#This Row],[395nm Normalized Dose]],"395nm",IF(QualData[[#This Row],[365nm Normalized Dose]],"365nm",""))</f>
        <v>365nm</v>
      </c>
      <c r="Q53" s="22">
        <v>0.375</v>
      </c>
      <c r="R53" s="28">
        <v>50</v>
      </c>
      <c r="S53" s="28">
        <v>60</v>
      </c>
      <c r="T53" s="28"/>
      <c r="U53" s="28">
        <f>IF(ISNUMBER(INDEX(Table7[Tape],MATCH(QualData[[#This Row],[Trial 1]],Table7[Can],0))),INDEX(Table7[Tape],MATCH(QualData[[#This Row],[Trial 1]],Table7[Can],0)),"")</f>
        <v>4</v>
      </c>
      <c r="V53" s="28">
        <f>IF(ISNUMBER(INDEX(Table7[Tape],MATCH(QualData[[#This Row],[Trial 2]],Table7[Can],0))),INDEX(Table7[Tape],MATCH(QualData[[#This Row],[Trial 2]],Table7[Can],0)),"")</f>
        <v>3</v>
      </c>
      <c r="W53" s="28" t="str">
        <f>IF(ISNUMBER(INDEX(Table7[Tape],MATCH(QualData[[#This Row],[Trial 3]],Table7[Can],0))),INDEX(Table7[Tape],MATCH(QualData[[#This Row],[Trial 3]],Table7[Can],0)),"")</f>
        <v/>
      </c>
      <c r="X53" s="28">
        <f>IF(ISNUMBER(INDEX(Table7[Scratch],MATCH(QualData[[#This Row],[Trial 1]],Table7[Can],0))),INDEX(Table7[Scratch],MATCH(QualData[[#This Row],[Trial 1]],Table7[Can],0)),"")</f>
        <v>4</v>
      </c>
      <c r="Y53" s="28">
        <f>IF(ISNUMBER(INDEX(Table7[Scratch],MATCH(QualData[[#This Row],[Trial 2]],Table7[Can],0))),INDEX(Table7[Scratch],MATCH(QualData[[#This Row],[Trial 2]],Table7[Can],0)),"")</f>
        <v>4</v>
      </c>
      <c r="Z53" s="28" t="str">
        <f>IF(ISNUMBER(INDEX(Table7[Scratch],MATCH(QualData[[#This Row],[Trial 3]],Table7[Can],0))),INDEX(Table7[Scratch],MATCH(QualData[[#This Row],[Trial 3]],Table7[Can],0)),"")</f>
        <v/>
      </c>
      <c r="AA53" s="54">
        <f>IFERROR(AVERAGE(QualData[[#This Row],[Trial 1 Tape Score]:[Trial 3 Tape Score]])/4,"")</f>
        <v>0.875</v>
      </c>
      <c r="AB53" s="54">
        <f>IFERROR(AVERAGE(QualData[[#This Row],[Trial 1 Scratch Score]:[Trial 3 Scratch Score]])/4,"")</f>
        <v>1</v>
      </c>
    </row>
    <row r="54" spans="3:28" x14ac:dyDescent="0.25">
      <c r="C54" s="37">
        <v>44385</v>
      </c>
      <c r="D54" s="36">
        <v>29</v>
      </c>
      <c r="E54" s="40"/>
      <c r="F54" s="40">
        <v>1</v>
      </c>
      <c r="G54" s="40">
        <v>1</v>
      </c>
      <c r="H54" s="23">
        <f>QualData[[#This Row],[395nm Power Setting (%)]]*16</f>
        <v>0</v>
      </c>
      <c r="I54" s="23">
        <f>QualData[[#This Row],[365nm Power Setting (%)]]*8</f>
        <v>8</v>
      </c>
      <c r="J54" s="24">
        <f>QualData[[#This Row],[275nm Power (%)]]*3</f>
        <v>3</v>
      </c>
      <c r="K54" s="22">
        <v>30</v>
      </c>
      <c r="L54" s="22">
        <f>60*QualData[[#This Row],[395nm Irr. (W/cm2)]]/QualData[[#This Row],[Conveyor Speed (ft/min)]]</f>
        <v>0</v>
      </c>
      <c r="M54" s="27">
        <f>60*QualData[[#This Row],[365nm Irr. (W/cm2)]]/QualData[[#This Row],[Conveyor Speed (ft/min)]]</f>
        <v>16</v>
      </c>
      <c r="N54" s="42">
        <f>60*QualData[[#This Row],[275nm Irr. (W/cm2)]]/QualData[[#This Row],[Conveyor Speed (ft/min)]]</f>
        <v>6</v>
      </c>
      <c r="O54" s="42">
        <f>SUM(QualData[[#This Row],[395nm Normalized Dose]:[275nm Normalized Dose]])</f>
        <v>22</v>
      </c>
      <c r="P54" s="42" t="str">
        <f>IF(QualData[[#This Row],[395nm Normalized Dose]],"395nm",IF(QualData[[#This Row],[365nm Normalized Dose]],"365nm",""))</f>
        <v>365nm</v>
      </c>
      <c r="Q54" s="22">
        <v>0.375</v>
      </c>
      <c r="R54" s="28">
        <v>51</v>
      </c>
      <c r="S54" s="28">
        <v>61</v>
      </c>
      <c r="T54" s="28"/>
      <c r="U54" s="28">
        <f>IF(ISNUMBER(INDEX(Table7[Tape],MATCH(QualData[[#This Row],[Trial 1]],Table7[Can],0))),INDEX(Table7[Tape],MATCH(QualData[[#This Row],[Trial 1]],Table7[Can],0)),"")</f>
        <v>3</v>
      </c>
      <c r="V54" s="28">
        <f>IF(ISNUMBER(INDEX(Table7[Tape],MATCH(QualData[[#This Row],[Trial 2]],Table7[Can],0))),INDEX(Table7[Tape],MATCH(QualData[[#This Row],[Trial 2]],Table7[Can],0)),"")</f>
        <v>4</v>
      </c>
      <c r="W54" s="28" t="str">
        <f>IF(ISNUMBER(INDEX(Table7[Tape],MATCH(QualData[[#This Row],[Trial 3]],Table7[Can],0))),INDEX(Table7[Tape],MATCH(QualData[[#This Row],[Trial 3]],Table7[Can],0)),"")</f>
        <v/>
      </c>
      <c r="X54" s="28">
        <f>IF(ISNUMBER(INDEX(Table7[Scratch],MATCH(QualData[[#This Row],[Trial 1]],Table7[Can],0))),INDEX(Table7[Scratch],MATCH(QualData[[#This Row],[Trial 1]],Table7[Can],0)),"")</f>
        <v>4</v>
      </c>
      <c r="Y54" s="28">
        <f>IF(ISNUMBER(INDEX(Table7[Scratch],MATCH(QualData[[#This Row],[Trial 2]],Table7[Can],0))),INDEX(Table7[Scratch],MATCH(QualData[[#This Row],[Trial 2]],Table7[Can],0)),"")</f>
        <v>4</v>
      </c>
      <c r="Z54" s="28" t="str">
        <f>IF(ISNUMBER(INDEX(Table7[Scratch],MATCH(QualData[[#This Row],[Trial 3]],Table7[Can],0))),INDEX(Table7[Scratch],MATCH(QualData[[#This Row],[Trial 3]],Table7[Can],0)),"")</f>
        <v/>
      </c>
      <c r="AA54" s="54">
        <f>IFERROR(AVERAGE(QualData[[#This Row],[Trial 1 Tape Score]:[Trial 3 Tape Score]])/4,"")</f>
        <v>0.875</v>
      </c>
      <c r="AB54" s="54">
        <f>IFERROR(AVERAGE(QualData[[#This Row],[Trial 1 Scratch Score]:[Trial 3 Scratch Score]])/4,"")</f>
        <v>1</v>
      </c>
    </row>
    <row r="55" spans="3:28" x14ac:dyDescent="0.25">
      <c r="C55" s="37">
        <v>44385</v>
      </c>
      <c r="D55" s="36">
        <v>30</v>
      </c>
      <c r="E55" s="40"/>
      <c r="F55" s="40">
        <v>0.5</v>
      </c>
      <c r="G55" s="40">
        <v>0</v>
      </c>
      <c r="H55" s="23">
        <f>QualData[[#This Row],[395nm Power Setting (%)]]*16</f>
        <v>0</v>
      </c>
      <c r="I55" s="23">
        <f>QualData[[#This Row],[365nm Power Setting (%)]]*8</f>
        <v>4</v>
      </c>
      <c r="J55" s="24">
        <f>QualData[[#This Row],[275nm Power (%)]]*3</f>
        <v>0</v>
      </c>
      <c r="K55" s="22">
        <v>30</v>
      </c>
      <c r="L55" s="22">
        <f>60*QualData[[#This Row],[395nm Irr. (W/cm2)]]/QualData[[#This Row],[Conveyor Speed (ft/min)]]</f>
        <v>0</v>
      </c>
      <c r="M55" s="27">
        <f>60*QualData[[#This Row],[365nm Irr. (W/cm2)]]/QualData[[#This Row],[Conveyor Speed (ft/min)]]</f>
        <v>8</v>
      </c>
      <c r="N55" s="42">
        <f>60*QualData[[#This Row],[275nm Irr. (W/cm2)]]/QualData[[#This Row],[Conveyor Speed (ft/min)]]</f>
        <v>0</v>
      </c>
      <c r="O55" s="42">
        <f>SUM(QualData[[#This Row],[395nm Normalized Dose]:[275nm Normalized Dose]])</f>
        <v>8</v>
      </c>
      <c r="P55" s="42" t="str">
        <f>IF(QualData[[#This Row],[395nm Normalized Dose]],"395nm",IF(QualData[[#This Row],[365nm Normalized Dose]],"365nm",""))</f>
        <v>365nm</v>
      </c>
      <c r="Q55" s="22">
        <v>0.375</v>
      </c>
      <c r="R55" s="28">
        <v>52</v>
      </c>
      <c r="S55" s="28">
        <v>62</v>
      </c>
      <c r="T55" s="28"/>
      <c r="U55" s="28">
        <f>IF(ISNUMBER(INDEX(Table7[Tape],MATCH(QualData[[#This Row],[Trial 1]],Table7[Can],0))),INDEX(Table7[Tape],MATCH(QualData[[#This Row],[Trial 1]],Table7[Can],0)),"")</f>
        <v>1</v>
      </c>
      <c r="V55" s="28">
        <f>IF(ISNUMBER(INDEX(Table7[Tape],MATCH(QualData[[#This Row],[Trial 2]],Table7[Can],0))),INDEX(Table7[Tape],MATCH(QualData[[#This Row],[Trial 2]],Table7[Can],0)),"")</f>
        <v>1</v>
      </c>
      <c r="W55" s="28" t="str">
        <f>IF(ISNUMBER(INDEX(Table7[Tape],MATCH(QualData[[#This Row],[Trial 3]],Table7[Can],0))),INDEX(Table7[Tape],MATCH(QualData[[#This Row],[Trial 3]],Table7[Can],0)),"")</f>
        <v/>
      </c>
      <c r="X55" s="28">
        <f>IF(ISNUMBER(INDEX(Table7[Scratch],MATCH(QualData[[#This Row],[Trial 1]],Table7[Can],0))),INDEX(Table7[Scratch],MATCH(QualData[[#This Row],[Trial 1]],Table7[Can],0)),"")</f>
        <v>4</v>
      </c>
      <c r="Y55" s="28">
        <f>IF(ISNUMBER(INDEX(Table7[Scratch],MATCH(QualData[[#This Row],[Trial 2]],Table7[Can],0))),INDEX(Table7[Scratch],MATCH(QualData[[#This Row],[Trial 2]],Table7[Can],0)),"")</f>
        <v>4</v>
      </c>
      <c r="Z55" s="28" t="str">
        <f>IF(ISNUMBER(INDEX(Table7[Scratch],MATCH(QualData[[#This Row],[Trial 3]],Table7[Can],0))),INDEX(Table7[Scratch],MATCH(QualData[[#This Row],[Trial 3]],Table7[Can],0)),"")</f>
        <v/>
      </c>
      <c r="AA55" s="54">
        <f>IFERROR(AVERAGE(QualData[[#This Row],[Trial 1 Tape Score]:[Trial 3 Tape Score]])/4,"")</f>
        <v>0.25</v>
      </c>
      <c r="AB55" s="54">
        <f>IFERROR(AVERAGE(QualData[[#This Row],[Trial 1 Scratch Score]:[Trial 3 Scratch Score]])/4,"")</f>
        <v>1</v>
      </c>
    </row>
    <row r="56" spans="3:28" x14ac:dyDescent="0.25">
      <c r="C56" s="37">
        <v>44385</v>
      </c>
      <c r="D56" s="36">
        <v>31</v>
      </c>
      <c r="E56" s="40"/>
      <c r="F56" s="40">
        <v>0.5</v>
      </c>
      <c r="G56" s="40">
        <v>0.25</v>
      </c>
      <c r="H56" s="23">
        <f>QualData[[#This Row],[395nm Power Setting (%)]]*16</f>
        <v>0</v>
      </c>
      <c r="I56" s="23">
        <f>QualData[[#This Row],[365nm Power Setting (%)]]*8</f>
        <v>4</v>
      </c>
      <c r="J56" s="24">
        <f>QualData[[#This Row],[275nm Power (%)]]*3</f>
        <v>0.75</v>
      </c>
      <c r="K56" s="22">
        <v>30</v>
      </c>
      <c r="L56" s="22">
        <f>60*QualData[[#This Row],[395nm Irr. (W/cm2)]]/QualData[[#This Row],[Conveyor Speed (ft/min)]]</f>
        <v>0</v>
      </c>
      <c r="M56" s="27">
        <f>60*QualData[[#This Row],[365nm Irr. (W/cm2)]]/QualData[[#This Row],[Conveyor Speed (ft/min)]]</f>
        <v>8</v>
      </c>
      <c r="N56" s="42">
        <f>60*QualData[[#This Row],[275nm Irr. (W/cm2)]]/QualData[[#This Row],[Conveyor Speed (ft/min)]]</f>
        <v>1.5</v>
      </c>
      <c r="O56" s="42">
        <f>SUM(QualData[[#This Row],[395nm Normalized Dose]:[275nm Normalized Dose]])</f>
        <v>9.5</v>
      </c>
      <c r="P56" s="42" t="str">
        <f>IF(QualData[[#This Row],[395nm Normalized Dose]],"395nm",IF(QualData[[#This Row],[365nm Normalized Dose]],"365nm",""))</f>
        <v>365nm</v>
      </c>
      <c r="Q56" s="22">
        <v>0.375</v>
      </c>
      <c r="R56" s="28">
        <v>53</v>
      </c>
      <c r="S56" s="28">
        <v>63</v>
      </c>
      <c r="T56" s="28"/>
      <c r="U56" s="28">
        <f>IF(ISNUMBER(INDEX(Table7[Tape],MATCH(QualData[[#This Row],[Trial 1]],Table7[Can],0))),INDEX(Table7[Tape],MATCH(QualData[[#This Row],[Trial 1]],Table7[Can],0)),"")</f>
        <v>1</v>
      </c>
      <c r="V56" s="28">
        <f>IF(ISNUMBER(INDEX(Table7[Tape],MATCH(QualData[[#This Row],[Trial 2]],Table7[Can],0))),INDEX(Table7[Tape],MATCH(QualData[[#This Row],[Trial 2]],Table7[Can],0)),"")</f>
        <v>1</v>
      </c>
      <c r="W56" s="28" t="str">
        <f>IF(ISNUMBER(INDEX(Table7[Tape],MATCH(QualData[[#This Row],[Trial 3]],Table7[Can],0))),INDEX(Table7[Tape],MATCH(QualData[[#This Row],[Trial 3]],Table7[Can],0)),"")</f>
        <v/>
      </c>
      <c r="X56" s="28">
        <f>IF(ISNUMBER(INDEX(Table7[Scratch],MATCH(QualData[[#This Row],[Trial 1]],Table7[Can],0))),INDEX(Table7[Scratch],MATCH(QualData[[#This Row],[Trial 1]],Table7[Can],0)),"")</f>
        <v>4</v>
      </c>
      <c r="Y56" s="28">
        <f>IF(ISNUMBER(INDEX(Table7[Scratch],MATCH(QualData[[#This Row],[Trial 2]],Table7[Can],0))),INDEX(Table7[Scratch],MATCH(QualData[[#This Row],[Trial 2]],Table7[Can],0)),"")</f>
        <v>4</v>
      </c>
      <c r="Z56" s="28" t="str">
        <f>IF(ISNUMBER(INDEX(Table7[Scratch],MATCH(QualData[[#This Row],[Trial 3]],Table7[Can],0))),INDEX(Table7[Scratch],MATCH(QualData[[#This Row],[Trial 3]],Table7[Can],0)),"")</f>
        <v/>
      </c>
      <c r="AA56" s="54">
        <f>IFERROR(AVERAGE(QualData[[#This Row],[Trial 1 Tape Score]:[Trial 3 Tape Score]])/4,"")</f>
        <v>0.25</v>
      </c>
      <c r="AB56" s="54">
        <f>IFERROR(AVERAGE(QualData[[#This Row],[Trial 1 Scratch Score]:[Trial 3 Scratch Score]])/4,"")</f>
        <v>1</v>
      </c>
    </row>
    <row r="57" spans="3:28" x14ac:dyDescent="0.25">
      <c r="C57" s="37">
        <v>44385</v>
      </c>
      <c r="D57" s="36">
        <v>32</v>
      </c>
      <c r="E57" s="40"/>
      <c r="F57" s="40">
        <v>0.5</v>
      </c>
      <c r="G57" s="40">
        <v>0.5</v>
      </c>
      <c r="H57" s="23">
        <f>QualData[[#This Row],[395nm Power Setting (%)]]*16</f>
        <v>0</v>
      </c>
      <c r="I57" s="23">
        <f>QualData[[#This Row],[365nm Power Setting (%)]]*8</f>
        <v>4</v>
      </c>
      <c r="J57" s="24">
        <f>QualData[[#This Row],[275nm Power (%)]]*3</f>
        <v>1.5</v>
      </c>
      <c r="K57" s="22">
        <v>30</v>
      </c>
      <c r="L57" s="22">
        <f>60*QualData[[#This Row],[395nm Irr. (W/cm2)]]/QualData[[#This Row],[Conveyor Speed (ft/min)]]</f>
        <v>0</v>
      </c>
      <c r="M57" s="27">
        <f>60*QualData[[#This Row],[365nm Irr. (W/cm2)]]/QualData[[#This Row],[Conveyor Speed (ft/min)]]</f>
        <v>8</v>
      </c>
      <c r="N57" s="27">
        <f>60*QualData[[#This Row],[275nm Irr. (W/cm2)]]/QualData[[#This Row],[Conveyor Speed (ft/min)]]</f>
        <v>3</v>
      </c>
      <c r="O57" s="27">
        <f>SUM(QualData[[#This Row],[395nm Normalized Dose]:[275nm Normalized Dose]])</f>
        <v>11</v>
      </c>
      <c r="P57" s="27" t="str">
        <f>IF(QualData[[#This Row],[395nm Normalized Dose]],"395nm",IF(QualData[[#This Row],[365nm Normalized Dose]],"365nm",""))</f>
        <v>365nm</v>
      </c>
      <c r="Q57" s="22">
        <v>0.375</v>
      </c>
      <c r="R57" s="28">
        <v>54</v>
      </c>
      <c r="S57" s="28">
        <v>64</v>
      </c>
      <c r="T57" s="28"/>
      <c r="U57" s="28">
        <f>IF(ISNUMBER(INDEX(Table7[Tape],MATCH(QualData[[#This Row],[Trial 1]],Table7[Can],0))),INDEX(Table7[Tape],MATCH(QualData[[#This Row],[Trial 1]],Table7[Can],0)),"")</f>
        <v>2</v>
      </c>
      <c r="V57" s="28">
        <f>IF(ISNUMBER(INDEX(Table7[Tape],MATCH(QualData[[#This Row],[Trial 2]],Table7[Can],0))),INDEX(Table7[Tape],MATCH(QualData[[#This Row],[Trial 2]],Table7[Can],0)),"")</f>
        <v>2</v>
      </c>
      <c r="W57" s="28" t="str">
        <f>IF(ISNUMBER(INDEX(Table7[Tape],MATCH(QualData[[#This Row],[Trial 3]],Table7[Can],0))),INDEX(Table7[Tape],MATCH(QualData[[#This Row],[Trial 3]],Table7[Can],0)),"")</f>
        <v/>
      </c>
      <c r="X57" s="28">
        <f>IF(ISNUMBER(INDEX(Table7[Scratch],MATCH(QualData[[#This Row],[Trial 1]],Table7[Can],0))),INDEX(Table7[Scratch],MATCH(QualData[[#This Row],[Trial 1]],Table7[Can],0)),"")</f>
        <v>4</v>
      </c>
      <c r="Y57" s="28">
        <f>IF(ISNUMBER(INDEX(Table7[Scratch],MATCH(QualData[[#This Row],[Trial 2]],Table7[Can],0))),INDEX(Table7[Scratch],MATCH(QualData[[#This Row],[Trial 2]],Table7[Can],0)),"")</f>
        <v>4</v>
      </c>
      <c r="Z57" s="28" t="str">
        <f>IF(ISNUMBER(INDEX(Table7[Scratch],MATCH(QualData[[#This Row],[Trial 3]],Table7[Can],0))),INDEX(Table7[Scratch],MATCH(QualData[[#This Row],[Trial 3]],Table7[Can],0)),"")</f>
        <v/>
      </c>
      <c r="AA57" s="54">
        <f>IFERROR(AVERAGE(QualData[[#This Row],[Trial 1 Tape Score]:[Trial 3 Tape Score]])/4,"")</f>
        <v>0.5</v>
      </c>
      <c r="AB57" s="54">
        <f>IFERROR(AVERAGE(QualData[[#This Row],[Trial 1 Scratch Score]:[Trial 3 Scratch Score]])/4,"")</f>
        <v>1</v>
      </c>
    </row>
    <row r="58" spans="3:28" x14ac:dyDescent="0.25">
      <c r="C58" s="37">
        <v>44385</v>
      </c>
      <c r="D58" s="36">
        <v>33</v>
      </c>
      <c r="E58" s="40"/>
      <c r="F58" s="40">
        <v>0.5</v>
      </c>
      <c r="G58" s="40">
        <v>0.75</v>
      </c>
      <c r="H58" s="23">
        <f>QualData[[#This Row],[395nm Power Setting (%)]]*16</f>
        <v>0</v>
      </c>
      <c r="I58" s="23">
        <f>QualData[[#This Row],[365nm Power Setting (%)]]*8</f>
        <v>4</v>
      </c>
      <c r="J58" s="24">
        <f>QualData[[#This Row],[275nm Power (%)]]*3</f>
        <v>2.25</v>
      </c>
      <c r="K58" s="22">
        <v>30</v>
      </c>
      <c r="L58" s="22">
        <f>60*QualData[[#This Row],[395nm Irr. (W/cm2)]]/QualData[[#This Row],[Conveyor Speed (ft/min)]]</f>
        <v>0</v>
      </c>
      <c r="M58" s="27">
        <f>60*QualData[[#This Row],[365nm Irr. (W/cm2)]]/QualData[[#This Row],[Conveyor Speed (ft/min)]]</f>
        <v>8</v>
      </c>
      <c r="N58" s="27">
        <f>60*QualData[[#This Row],[275nm Irr. (W/cm2)]]/QualData[[#This Row],[Conveyor Speed (ft/min)]]</f>
        <v>4.5</v>
      </c>
      <c r="O58" s="27">
        <f>SUM(QualData[[#This Row],[395nm Normalized Dose]:[275nm Normalized Dose]])</f>
        <v>12.5</v>
      </c>
      <c r="P58" s="27" t="str">
        <f>IF(QualData[[#This Row],[395nm Normalized Dose]],"395nm",IF(QualData[[#This Row],[365nm Normalized Dose]],"365nm",""))</f>
        <v>365nm</v>
      </c>
      <c r="Q58" s="22">
        <v>0.375</v>
      </c>
      <c r="R58" s="28">
        <v>55</v>
      </c>
      <c r="S58" s="28">
        <v>65</v>
      </c>
      <c r="T58" s="28"/>
      <c r="U58" s="28">
        <f>IF(ISNUMBER(INDEX(Table7[Tape],MATCH(QualData[[#This Row],[Trial 1]],Table7[Can],0))),INDEX(Table7[Tape],MATCH(QualData[[#This Row],[Trial 1]],Table7[Can],0)),"")</f>
        <v>3</v>
      </c>
      <c r="V58" s="28">
        <f>IF(ISNUMBER(INDEX(Table7[Tape],MATCH(QualData[[#This Row],[Trial 2]],Table7[Can],0))),INDEX(Table7[Tape],MATCH(QualData[[#This Row],[Trial 2]],Table7[Can],0)),"")</f>
        <v>3</v>
      </c>
      <c r="W58" s="28" t="str">
        <f>IF(ISNUMBER(INDEX(Table7[Tape],MATCH(QualData[[#This Row],[Trial 3]],Table7[Can],0))),INDEX(Table7[Tape],MATCH(QualData[[#This Row],[Trial 3]],Table7[Can],0)),"")</f>
        <v/>
      </c>
      <c r="X58" s="28">
        <f>IF(ISNUMBER(INDEX(Table7[Scratch],MATCH(QualData[[#This Row],[Trial 1]],Table7[Can],0))),INDEX(Table7[Scratch],MATCH(QualData[[#This Row],[Trial 1]],Table7[Can],0)),"")</f>
        <v>4</v>
      </c>
      <c r="Y58" s="28">
        <f>IF(ISNUMBER(INDEX(Table7[Scratch],MATCH(QualData[[#This Row],[Trial 2]],Table7[Can],0))),INDEX(Table7[Scratch],MATCH(QualData[[#This Row],[Trial 2]],Table7[Can],0)),"")</f>
        <v>4</v>
      </c>
      <c r="Z58" s="28" t="str">
        <f>IF(ISNUMBER(INDEX(Table7[Scratch],MATCH(QualData[[#This Row],[Trial 3]],Table7[Can],0))),INDEX(Table7[Scratch],MATCH(QualData[[#This Row],[Trial 3]],Table7[Can],0)),"")</f>
        <v/>
      </c>
      <c r="AA58" s="54">
        <f>IFERROR(AVERAGE(QualData[[#This Row],[Trial 1 Tape Score]:[Trial 3 Tape Score]])/4,"")</f>
        <v>0.75</v>
      </c>
      <c r="AB58" s="54">
        <f>IFERROR(AVERAGE(QualData[[#This Row],[Trial 1 Scratch Score]:[Trial 3 Scratch Score]])/4,"")</f>
        <v>1</v>
      </c>
    </row>
    <row r="59" spans="3:28" ht="15" customHeight="1" x14ac:dyDescent="0.25">
      <c r="C59" s="37">
        <v>44385</v>
      </c>
      <c r="D59" s="36">
        <v>34</v>
      </c>
      <c r="E59" s="40"/>
      <c r="F59" s="40">
        <v>0.5</v>
      </c>
      <c r="G59" s="40">
        <v>1</v>
      </c>
      <c r="H59" s="23">
        <f>QualData[[#This Row],[395nm Power Setting (%)]]*16</f>
        <v>0</v>
      </c>
      <c r="I59" s="23">
        <f>QualData[[#This Row],[365nm Power Setting (%)]]*8</f>
        <v>4</v>
      </c>
      <c r="J59" s="24">
        <f>QualData[[#This Row],[275nm Power (%)]]*3</f>
        <v>3</v>
      </c>
      <c r="K59" s="22">
        <v>30</v>
      </c>
      <c r="L59" s="22">
        <f>60*QualData[[#This Row],[395nm Irr. (W/cm2)]]/QualData[[#This Row],[Conveyor Speed (ft/min)]]</f>
        <v>0</v>
      </c>
      <c r="M59" s="27">
        <f>60*QualData[[#This Row],[365nm Irr. (W/cm2)]]/QualData[[#This Row],[Conveyor Speed (ft/min)]]</f>
        <v>8</v>
      </c>
      <c r="N59" s="27">
        <f>60*QualData[[#This Row],[275nm Irr. (W/cm2)]]/QualData[[#This Row],[Conveyor Speed (ft/min)]]</f>
        <v>6</v>
      </c>
      <c r="O59" s="27">
        <f>SUM(QualData[[#This Row],[395nm Normalized Dose]:[275nm Normalized Dose]])</f>
        <v>14</v>
      </c>
      <c r="P59" s="27" t="str">
        <f>IF(QualData[[#This Row],[395nm Normalized Dose]],"395nm",IF(QualData[[#This Row],[365nm Normalized Dose]],"365nm",""))</f>
        <v>365nm</v>
      </c>
      <c r="Q59" s="22">
        <v>0.375</v>
      </c>
      <c r="R59" s="28">
        <v>56</v>
      </c>
      <c r="S59" s="28">
        <v>66</v>
      </c>
      <c r="T59" s="28"/>
      <c r="U59" s="28">
        <f>IF(ISNUMBER(INDEX(Table7[Tape],MATCH(QualData[[#This Row],[Trial 1]],Table7[Can],0))),INDEX(Table7[Tape],MATCH(QualData[[#This Row],[Trial 1]],Table7[Can],0)),"")</f>
        <v>2</v>
      </c>
      <c r="V59" s="28">
        <f>IF(ISNUMBER(INDEX(Table7[Tape],MATCH(QualData[[#This Row],[Trial 2]],Table7[Can],0))),INDEX(Table7[Tape],MATCH(QualData[[#This Row],[Trial 2]],Table7[Can],0)),"")</f>
        <v>3</v>
      </c>
      <c r="W59" s="28" t="str">
        <f>IF(ISNUMBER(INDEX(Table7[Tape],MATCH(QualData[[#This Row],[Trial 3]],Table7[Can],0))),INDEX(Table7[Tape],MATCH(QualData[[#This Row],[Trial 3]],Table7[Can],0)),"")</f>
        <v/>
      </c>
      <c r="X59" s="28">
        <f>IF(ISNUMBER(INDEX(Table7[Scratch],MATCH(QualData[[#This Row],[Trial 1]],Table7[Can],0))),INDEX(Table7[Scratch],MATCH(QualData[[#This Row],[Trial 1]],Table7[Can],0)),"")</f>
        <v>4</v>
      </c>
      <c r="Y59" s="28">
        <f>IF(ISNUMBER(INDEX(Table7[Scratch],MATCH(QualData[[#This Row],[Trial 2]],Table7[Can],0))),INDEX(Table7[Scratch],MATCH(QualData[[#This Row],[Trial 2]],Table7[Can],0)),"")</f>
        <v>4</v>
      </c>
      <c r="Z59" s="28" t="str">
        <f>IF(ISNUMBER(INDEX(Table7[Scratch],MATCH(QualData[[#This Row],[Trial 3]],Table7[Can],0))),INDEX(Table7[Scratch],MATCH(QualData[[#This Row],[Trial 3]],Table7[Can],0)),"")</f>
        <v/>
      </c>
      <c r="AA59" s="54">
        <f>IFERROR(AVERAGE(QualData[[#This Row],[Trial 1 Tape Score]:[Trial 3 Tape Score]])/4,"")</f>
        <v>0.625</v>
      </c>
      <c r="AB59" s="54">
        <f>IFERROR(AVERAGE(QualData[[#This Row],[Trial 1 Scratch Score]:[Trial 3 Scratch Score]])/4,"")</f>
        <v>1</v>
      </c>
    </row>
    <row r="60" spans="3:28" x14ac:dyDescent="0.25">
      <c r="C60" s="37">
        <v>44385</v>
      </c>
      <c r="D60" s="36">
        <v>35</v>
      </c>
      <c r="E60" s="40">
        <v>1</v>
      </c>
      <c r="F60" s="40"/>
      <c r="G60" s="40">
        <v>0</v>
      </c>
      <c r="H60" s="23">
        <f>QualData[[#This Row],[395nm Power Setting (%)]]*16</f>
        <v>16</v>
      </c>
      <c r="I60" s="23">
        <f>QualData[[#This Row],[365nm Power Setting (%)]]*8</f>
        <v>0</v>
      </c>
      <c r="J60" s="24">
        <f>QualData[[#This Row],[275nm Power (%)]]*3</f>
        <v>0</v>
      </c>
      <c r="K60" s="22">
        <v>30</v>
      </c>
      <c r="L60" s="22">
        <f>60*QualData[[#This Row],[395nm Irr. (W/cm2)]]/QualData[[#This Row],[Conveyor Speed (ft/min)]]</f>
        <v>32</v>
      </c>
      <c r="M60" s="42">
        <f>60*QualData[[#This Row],[365nm Irr. (W/cm2)]]/QualData[[#This Row],[Conveyor Speed (ft/min)]]</f>
        <v>0</v>
      </c>
      <c r="N60" s="27">
        <f>60*QualData[[#This Row],[275nm Irr. (W/cm2)]]/QualData[[#This Row],[Conveyor Speed (ft/min)]]</f>
        <v>0</v>
      </c>
      <c r="O60" s="27">
        <f>SUM(QualData[[#This Row],[395nm Normalized Dose]:[275nm Normalized Dose]])</f>
        <v>32</v>
      </c>
      <c r="P60" s="27" t="str">
        <f>IF(QualData[[#This Row],[395nm Normalized Dose]],"395nm",IF(QualData[[#This Row],[365nm Normalized Dose]],"365nm",""))</f>
        <v>395nm</v>
      </c>
      <c r="Q60" s="22">
        <v>0.375</v>
      </c>
      <c r="R60" s="28">
        <v>67</v>
      </c>
      <c r="S60" s="28">
        <v>77</v>
      </c>
      <c r="T60" s="28"/>
      <c r="U60" s="28">
        <f>IF(ISNUMBER(INDEX(Table7[Tape],MATCH(QualData[[#This Row],[Trial 1]],Table7[Can],0))),INDEX(Table7[Tape],MATCH(QualData[[#This Row],[Trial 1]],Table7[Can],0)),"")</f>
        <v>3</v>
      </c>
      <c r="V60" s="28">
        <f>IF(ISNUMBER(INDEX(Table7[Tape],MATCH(QualData[[#This Row],[Trial 2]],Table7[Can],0))),INDEX(Table7[Tape],MATCH(QualData[[#This Row],[Trial 2]],Table7[Can],0)),"")</f>
        <v>0</v>
      </c>
      <c r="W60" s="28" t="str">
        <f>IF(ISNUMBER(INDEX(Table7[Tape],MATCH(QualData[[#This Row],[Trial 3]],Table7[Can],0))),INDEX(Table7[Tape],MATCH(QualData[[#This Row],[Trial 3]],Table7[Can],0)),"")</f>
        <v/>
      </c>
      <c r="X60" s="28">
        <f>IF(ISNUMBER(INDEX(Table7[Scratch],MATCH(QualData[[#This Row],[Trial 1]],Table7[Can],0))),INDEX(Table7[Scratch],MATCH(QualData[[#This Row],[Trial 1]],Table7[Can],0)),"")</f>
        <v>4</v>
      </c>
      <c r="Y60" s="28">
        <f>IF(ISNUMBER(INDEX(Table7[Scratch],MATCH(QualData[[#This Row],[Trial 2]],Table7[Can],0))),INDEX(Table7[Scratch],MATCH(QualData[[#This Row],[Trial 2]],Table7[Can],0)),"")</f>
        <v>2</v>
      </c>
      <c r="Z60" s="28" t="str">
        <f>IF(ISNUMBER(INDEX(Table7[Scratch],MATCH(QualData[[#This Row],[Trial 3]],Table7[Can],0))),INDEX(Table7[Scratch],MATCH(QualData[[#This Row],[Trial 3]],Table7[Can],0)),"")</f>
        <v/>
      </c>
      <c r="AA60" s="54">
        <f>IFERROR(AVERAGE(QualData[[#This Row],[Trial 1 Tape Score]:[Trial 3 Tape Score]])/4,"")</f>
        <v>0.375</v>
      </c>
      <c r="AB60" s="54">
        <f>IFERROR(AVERAGE(QualData[[#This Row],[Trial 1 Scratch Score]:[Trial 3 Scratch Score]])/4,"")</f>
        <v>0.75</v>
      </c>
    </row>
    <row r="61" spans="3:28" x14ac:dyDescent="0.25">
      <c r="C61" s="37">
        <v>44385</v>
      </c>
      <c r="D61" s="36">
        <v>36</v>
      </c>
      <c r="E61" s="40">
        <v>1</v>
      </c>
      <c r="F61" s="40"/>
      <c r="G61" s="40">
        <v>0.25</v>
      </c>
      <c r="H61" s="23">
        <f>QualData[[#This Row],[395nm Power Setting (%)]]*16</f>
        <v>16</v>
      </c>
      <c r="I61" s="23">
        <f>QualData[[#This Row],[365nm Power Setting (%)]]*8</f>
        <v>0</v>
      </c>
      <c r="J61" s="24">
        <f>QualData[[#This Row],[275nm Power (%)]]*3</f>
        <v>0.75</v>
      </c>
      <c r="K61" s="22">
        <v>30</v>
      </c>
      <c r="L61" s="22">
        <f>60*QualData[[#This Row],[395nm Irr. (W/cm2)]]/QualData[[#This Row],[Conveyor Speed (ft/min)]]</f>
        <v>32</v>
      </c>
      <c r="M61" s="42">
        <f>60*QualData[[#This Row],[365nm Irr. (W/cm2)]]/QualData[[#This Row],[Conveyor Speed (ft/min)]]</f>
        <v>0</v>
      </c>
      <c r="N61" s="27">
        <f>60*QualData[[#This Row],[275nm Irr. (W/cm2)]]/QualData[[#This Row],[Conveyor Speed (ft/min)]]</f>
        <v>1.5</v>
      </c>
      <c r="O61" s="27">
        <f>SUM(QualData[[#This Row],[395nm Normalized Dose]:[275nm Normalized Dose]])</f>
        <v>33.5</v>
      </c>
      <c r="P61" s="27" t="str">
        <f>IF(QualData[[#This Row],[395nm Normalized Dose]],"395nm",IF(QualData[[#This Row],[365nm Normalized Dose]],"365nm",""))</f>
        <v>395nm</v>
      </c>
      <c r="Q61" s="22">
        <v>0.375</v>
      </c>
      <c r="R61" s="28">
        <v>68</v>
      </c>
      <c r="S61" s="28">
        <v>78</v>
      </c>
      <c r="T61" s="28"/>
      <c r="U61" s="28">
        <f>IF(ISNUMBER(INDEX(Table7[Tape],MATCH(QualData[[#This Row],[Trial 1]],Table7[Can],0))),INDEX(Table7[Tape],MATCH(QualData[[#This Row],[Trial 1]],Table7[Can],0)),"")</f>
        <v>1</v>
      </c>
      <c r="V61" s="28">
        <f>IF(ISNUMBER(INDEX(Table7[Tape],MATCH(QualData[[#This Row],[Trial 2]],Table7[Can],0))),INDEX(Table7[Tape],MATCH(QualData[[#This Row],[Trial 2]],Table7[Can],0)),"")</f>
        <v>1</v>
      </c>
      <c r="W61" s="28" t="str">
        <f>IF(ISNUMBER(INDEX(Table7[Tape],MATCH(QualData[[#This Row],[Trial 3]],Table7[Can],0))),INDEX(Table7[Tape],MATCH(QualData[[#This Row],[Trial 3]],Table7[Can],0)),"")</f>
        <v/>
      </c>
      <c r="X61" s="28">
        <f>IF(ISNUMBER(INDEX(Table7[Scratch],MATCH(QualData[[#This Row],[Trial 1]],Table7[Can],0))),INDEX(Table7[Scratch],MATCH(QualData[[#This Row],[Trial 1]],Table7[Can],0)),"")</f>
        <v>4</v>
      </c>
      <c r="Y61" s="28">
        <f>IF(ISNUMBER(INDEX(Table7[Scratch],MATCH(QualData[[#This Row],[Trial 2]],Table7[Can],0))),INDEX(Table7[Scratch],MATCH(QualData[[#This Row],[Trial 2]],Table7[Can],0)),"")</f>
        <v>4</v>
      </c>
      <c r="Z61" s="28" t="str">
        <f>IF(ISNUMBER(INDEX(Table7[Scratch],MATCH(QualData[[#This Row],[Trial 3]],Table7[Can],0))),INDEX(Table7[Scratch],MATCH(QualData[[#This Row],[Trial 3]],Table7[Can],0)),"")</f>
        <v/>
      </c>
      <c r="AA61" s="54">
        <f>IFERROR(AVERAGE(QualData[[#This Row],[Trial 1 Tape Score]:[Trial 3 Tape Score]])/4,"")</f>
        <v>0.25</v>
      </c>
      <c r="AB61" s="54">
        <f>IFERROR(AVERAGE(QualData[[#This Row],[Trial 1 Scratch Score]:[Trial 3 Scratch Score]])/4,"")</f>
        <v>1</v>
      </c>
    </row>
    <row r="62" spans="3:28" x14ac:dyDescent="0.25">
      <c r="C62" s="37">
        <v>44385</v>
      </c>
      <c r="D62" s="36">
        <v>37</v>
      </c>
      <c r="E62" s="40">
        <v>1</v>
      </c>
      <c r="F62" s="40"/>
      <c r="G62" s="40">
        <v>0.5</v>
      </c>
      <c r="H62" s="23">
        <f>QualData[[#This Row],[395nm Power Setting (%)]]*16</f>
        <v>16</v>
      </c>
      <c r="I62" s="23">
        <f>QualData[[#This Row],[365nm Power Setting (%)]]*8</f>
        <v>0</v>
      </c>
      <c r="J62" s="24">
        <f>QualData[[#This Row],[275nm Power (%)]]*3</f>
        <v>1.5</v>
      </c>
      <c r="K62" s="22">
        <v>30</v>
      </c>
      <c r="L62" s="22">
        <f>60*QualData[[#This Row],[395nm Irr. (W/cm2)]]/QualData[[#This Row],[Conveyor Speed (ft/min)]]</f>
        <v>32</v>
      </c>
      <c r="M62" s="27">
        <f>60*QualData[[#This Row],[365nm Irr. (W/cm2)]]/QualData[[#This Row],[Conveyor Speed (ft/min)]]</f>
        <v>0</v>
      </c>
      <c r="N62" s="27">
        <f>60*QualData[[#This Row],[275nm Irr. (W/cm2)]]/QualData[[#This Row],[Conveyor Speed (ft/min)]]</f>
        <v>3</v>
      </c>
      <c r="O62" s="27">
        <f>SUM(QualData[[#This Row],[395nm Normalized Dose]:[275nm Normalized Dose]])</f>
        <v>35</v>
      </c>
      <c r="P62" s="27" t="str">
        <f>IF(QualData[[#This Row],[395nm Normalized Dose]],"395nm",IF(QualData[[#This Row],[365nm Normalized Dose]],"365nm",""))</f>
        <v>395nm</v>
      </c>
      <c r="Q62" s="22">
        <v>0.375</v>
      </c>
      <c r="R62" s="28">
        <v>69</v>
      </c>
      <c r="S62" s="28">
        <v>79</v>
      </c>
      <c r="T62" s="28"/>
      <c r="U62" s="28">
        <f>IF(ISNUMBER(INDEX(Table7[Tape],MATCH(QualData[[#This Row],[Trial 1]],Table7[Can],0))),INDEX(Table7[Tape],MATCH(QualData[[#This Row],[Trial 1]],Table7[Can],0)),"")</f>
        <v>2</v>
      </c>
      <c r="V62" s="28">
        <f>IF(ISNUMBER(INDEX(Table7[Tape],MATCH(QualData[[#This Row],[Trial 2]],Table7[Can],0))),INDEX(Table7[Tape],MATCH(QualData[[#This Row],[Trial 2]],Table7[Can],0)),"")</f>
        <v>2</v>
      </c>
      <c r="W62" s="28" t="str">
        <f>IF(ISNUMBER(INDEX(Table7[Tape],MATCH(QualData[[#This Row],[Trial 3]],Table7[Can],0))),INDEX(Table7[Tape],MATCH(QualData[[#This Row],[Trial 3]],Table7[Can],0)),"")</f>
        <v/>
      </c>
      <c r="X62" s="28">
        <f>IF(ISNUMBER(INDEX(Table7[Scratch],MATCH(QualData[[#This Row],[Trial 1]],Table7[Can],0))),INDEX(Table7[Scratch],MATCH(QualData[[#This Row],[Trial 1]],Table7[Can],0)),"")</f>
        <v>4</v>
      </c>
      <c r="Y62" s="28">
        <f>IF(ISNUMBER(INDEX(Table7[Scratch],MATCH(QualData[[#This Row],[Trial 2]],Table7[Can],0))),INDEX(Table7[Scratch],MATCH(QualData[[#This Row],[Trial 2]],Table7[Can],0)),"")</f>
        <v>4</v>
      </c>
      <c r="Z62" s="28" t="str">
        <f>IF(ISNUMBER(INDEX(Table7[Scratch],MATCH(QualData[[#This Row],[Trial 3]],Table7[Can],0))),INDEX(Table7[Scratch],MATCH(QualData[[#This Row],[Trial 3]],Table7[Can],0)),"")</f>
        <v/>
      </c>
      <c r="AA62" s="54">
        <f>IFERROR(AVERAGE(QualData[[#This Row],[Trial 1 Tape Score]:[Trial 3 Tape Score]])/4,"")</f>
        <v>0.5</v>
      </c>
      <c r="AB62" s="54">
        <f>IFERROR(AVERAGE(QualData[[#This Row],[Trial 1 Scratch Score]:[Trial 3 Scratch Score]])/4,"")</f>
        <v>1</v>
      </c>
    </row>
    <row r="63" spans="3:28" x14ac:dyDescent="0.25">
      <c r="C63" s="37">
        <v>44385</v>
      </c>
      <c r="D63" s="36">
        <v>38</v>
      </c>
      <c r="E63" s="40">
        <v>1</v>
      </c>
      <c r="F63" s="40"/>
      <c r="G63" s="40">
        <v>0.75</v>
      </c>
      <c r="H63" s="23">
        <f>QualData[[#This Row],[395nm Power Setting (%)]]*16</f>
        <v>16</v>
      </c>
      <c r="I63" s="23">
        <f>QualData[[#This Row],[365nm Power Setting (%)]]*8</f>
        <v>0</v>
      </c>
      <c r="J63" s="24">
        <f>QualData[[#This Row],[275nm Power (%)]]*3</f>
        <v>2.25</v>
      </c>
      <c r="K63" s="22">
        <v>30</v>
      </c>
      <c r="L63" s="27">
        <f>60*QualData[[#This Row],[395nm Irr. (W/cm2)]]/QualData[[#This Row],[Conveyor Speed (ft/min)]]</f>
        <v>32</v>
      </c>
      <c r="M63" s="27">
        <f>60*QualData[[#This Row],[365nm Irr. (W/cm2)]]/QualData[[#This Row],[Conveyor Speed (ft/min)]]</f>
        <v>0</v>
      </c>
      <c r="N63" s="27">
        <f>60*QualData[[#This Row],[275nm Irr. (W/cm2)]]/QualData[[#This Row],[Conveyor Speed (ft/min)]]</f>
        <v>4.5</v>
      </c>
      <c r="O63" s="27">
        <f>SUM(QualData[[#This Row],[395nm Normalized Dose]:[275nm Normalized Dose]])</f>
        <v>36.5</v>
      </c>
      <c r="P63" s="27" t="str">
        <f>IF(QualData[[#This Row],[395nm Normalized Dose]],"395nm",IF(QualData[[#This Row],[365nm Normalized Dose]],"365nm",""))</f>
        <v>395nm</v>
      </c>
      <c r="Q63" s="22">
        <v>0.375</v>
      </c>
      <c r="R63" s="28">
        <v>70</v>
      </c>
      <c r="S63" s="28">
        <v>80</v>
      </c>
      <c r="T63" s="28"/>
      <c r="U63" s="28">
        <f>IF(ISNUMBER(INDEX(Table7[Tape],MATCH(QualData[[#This Row],[Trial 1]],Table7[Can],0))),INDEX(Table7[Tape],MATCH(QualData[[#This Row],[Trial 1]],Table7[Can],0)),"")</f>
        <v>2</v>
      </c>
      <c r="V63" s="28">
        <f>IF(ISNUMBER(INDEX(Table7[Tape],MATCH(QualData[[#This Row],[Trial 2]],Table7[Can],0))),INDEX(Table7[Tape],MATCH(QualData[[#This Row],[Trial 2]],Table7[Can],0)),"")</f>
        <v>1</v>
      </c>
      <c r="W63" s="28" t="str">
        <f>IF(ISNUMBER(INDEX(Table7[Tape],MATCH(QualData[[#This Row],[Trial 3]],Table7[Can],0))),INDEX(Table7[Tape],MATCH(QualData[[#This Row],[Trial 3]],Table7[Can],0)),"")</f>
        <v/>
      </c>
      <c r="X63" s="28">
        <f>IF(ISNUMBER(INDEX(Table7[Scratch],MATCH(QualData[[#This Row],[Trial 1]],Table7[Can],0))),INDEX(Table7[Scratch],MATCH(QualData[[#This Row],[Trial 1]],Table7[Can],0)),"")</f>
        <v>4</v>
      </c>
      <c r="Y63" s="28">
        <f>IF(ISNUMBER(INDEX(Table7[Scratch],MATCH(QualData[[#This Row],[Trial 2]],Table7[Can],0))),INDEX(Table7[Scratch],MATCH(QualData[[#This Row],[Trial 2]],Table7[Can],0)),"")</f>
        <v>4</v>
      </c>
      <c r="Z63" s="28" t="str">
        <f>IF(ISNUMBER(INDEX(Table7[Scratch],MATCH(QualData[[#This Row],[Trial 3]],Table7[Can],0))),INDEX(Table7[Scratch],MATCH(QualData[[#This Row],[Trial 3]],Table7[Can],0)),"")</f>
        <v/>
      </c>
      <c r="AA63" s="54">
        <f>IFERROR(AVERAGE(QualData[[#This Row],[Trial 1 Tape Score]:[Trial 3 Tape Score]])/4,"")</f>
        <v>0.375</v>
      </c>
      <c r="AB63" s="54">
        <f>IFERROR(AVERAGE(QualData[[#This Row],[Trial 1 Scratch Score]:[Trial 3 Scratch Score]])/4,"")</f>
        <v>1</v>
      </c>
    </row>
    <row r="64" spans="3:28" x14ac:dyDescent="0.25">
      <c r="C64" s="37">
        <v>44385</v>
      </c>
      <c r="D64" s="36">
        <v>39</v>
      </c>
      <c r="E64" s="40">
        <v>1</v>
      </c>
      <c r="F64" s="40"/>
      <c r="G64" s="40">
        <v>1</v>
      </c>
      <c r="H64" s="23">
        <f>QualData[[#This Row],[395nm Power Setting (%)]]*16</f>
        <v>16</v>
      </c>
      <c r="I64" s="23">
        <f>QualData[[#This Row],[365nm Power Setting (%)]]*8</f>
        <v>0</v>
      </c>
      <c r="J64" s="24">
        <f>QualData[[#This Row],[275nm Power (%)]]*3</f>
        <v>3</v>
      </c>
      <c r="K64" s="22">
        <v>30</v>
      </c>
      <c r="L64" s="22">
        <f>60*QualData[[#This Row],[395nm Irr. (W/cm2)]]/QualData[[#This Row],[Conveyor Speed (ft/min)]]</f>
        <v>32</v>
      </c>
      <c r="M64" s="27">
        <f>60*QualData[[#This Row],[365nm Irr. (W/cm2)]]/QualData[[#This Row],[Conveyor Speed (ft/min)]]</f>
        <v>0</v>
      </c>
      <c r="N64" s="27">
        <f>60*QualData[[#This Row],[275nm Irr. (W/cm2)]]/QualData[[#This Row],[Conveyor Speed (ft/min)]]</f>
        <v>6</v>
      </c>
      <c r="O64" s="27">
        <f>SUM(QualData[[#This Row],[395nm Normalized Dose]:[275nm Normalized Dose]])</f>
        <v>38</v>
      </c>
      <c r="P64" s="27" t="str">
        <f>IF(QualData[[#This Row],[395nm Normalized Dose]],"395nm",IF(QualData[[#This Row],[365nm Normalized Dose]],"365nm",""))</f>
        <v>395nm</v>
      </c>
      <c r="Q64" s="22">
        <v>0.375</v>
      </c>
      <c r="R64" s="28">
        <v>71</v>
      </c>
      <c r="S64" s="28">
        <v>81</v>
      </c>
      <c r="T64" s="28"/>
      <c r="U64" s="28">
        <f>IF(ISNUMBER(INDEX(Table7[Tape],MATCH(QualData[[#This Row],[Trial 1]],Table7[Can],0))),INDEX(Table7[Tape],MATCH(QualData[[#This Row],[Trial 1]],Table7[Can],0)),"")</f>
        <v>3</v>
      </c>
      <c r="V64" s="28">
        <f>IF(ISNUMBER(INDEX(Table7[Tape],MATCH(QualData[[#This Row],[Trial 2]],Table7[Can],0))),INDEX(Table7[Tape],MATCH(QualData[[#This Row],[Trial 2]],Table7[Can],0)),"")</f>
        <v>3</v>
      </c>
      <c r="W64" s="28" t="str">
        <f>IF(ISNUMBER(INDEX(Table7[Tape],MATCH(QualData[[#This Row],[Trial 3]],Table7[Can],0))),INDEX(Table7[Tape],MATCH(QualData[[#This Row],[Trial 3]],Table7[Can],0)),"")</f>
        <v/>
      </c>
      <c r="X64" s="28">
        <f>IF(ISNUMBER(INDEX(Table7[Scratch],MATCH(QualData[[#This Row],[Trial 1]],Table7[Can],0))),INDEX(Table7[Scratch],MATCH(QualData[[#This Row],[Trial 1]],Table7[Can],0)),"")</f>
        <v>4</v>
      </c>
      <c r="Y64" s="28">
        <f>IF(ISNUMBER(INDEX(Table7[Scratch],MATCH(QualData[[#This Row],[Trial 2]],Table7[Can],0))),INDEX(Table7[Scratch],MATCH(QualData[[#This Row],[Trial 2]],Table7[Can],0)),"")</f>
        <v>4</v>
      </c>
      <c r="Z64" s="28" t="str">
        <f>IF(ISNUMBER(INDEX(Table7[Scratch],MATCH(QualData[[#This Row],[Trial 3]],Table7[Can],0))),INDEX(Table7[Scratch],MATCH(QualData[[#This Row],[Trial 3]],Table7[Can],0)),"")</f>
        <v/>
      </c>
      <c r="AA64" s="54">
        <f>IFERROR(AVERAGE(QualData[[#This Row],[Trial 1 Tape Score]:[Trial 3 Tape Score]])/4,"")</f>
        <v>0.75</v>
      </c>
      <c r="AB64" s="54">
        <f>IFERROR(AVERAGE(QualData[[#This Row],[Trial 1 Scratch Score]:[Trial 3 Scratch Score]])/4,"")</f>
        <v>1</v>
      </c>
    </row>
    <row r="65" spans="3:28" x14ac:dyDescent="0.25">
      <c r="C65" s="37">
        <v>44385</v>
      </c>
      <c r="D65" s="36">
        <v>40</v>
      </c>
      <c r="E65" s="40">
        <v>0.5</v>
      </c>
      <c r="F65" s="40"/>
      <c r="G65" s="40">
        <v>0</v>
      </c>
      <c r="H65" s="23">
        <f>QualData[[#This Row],[395nm Power Setting (%)]]*16</f>
        <v>8</v>
      </c>
      <c r="I65" s="23">
        <f>QualData[[#This Row],[365nm Power Setting (%)]]*8</f>
        <v>0</v>
      </c>
      <c r="J65" s="24">
        <f>QualData[[#This Row],[275nm Power (%)]]*3</f>
        <v>0</v>
      </c>
      <c r="K65" s="22">
        <v>30</v>
      </c>
      <c r="L65" s="22">
        <f>60*QualData[[#This Row],[395nm Irr. (W/cm2)]]/QualData[[#This Row],[Conveyor Speed (ft/min)]]</f>
        <v>16</v>
      </c>
      <c r="M65" s="27">
        <f>60*QualData[[#This Row],[365nm Irr. (W/cm2)]]/QualData[[#This Row],[Conveyor Speed (ft/min)]]</f>
        <v>0</v>
      </c>
      <c r="N65" s="27">
        <f>60*QualData[[#This Row],[275nm Irr. (W/cm2)]]/QualData[[#This Row],[Conveyor Speed (ft/min)]]</f>
        <v>0</v>
      </c>
      <c r="O65" s="27">
        <f>SUM(QualData[[#This Row],[395nm Normalized Dose]:[275nm Normalized Dose]])</f>
        <v>16</v>
      </c>
      <c r="P65" s="27" t="str">
        <f>IF(QualData[[#This Row],[395nm Normalized Dose]],"395nm",IF(QualData[[#This Row],[365nm Normalized Dose]],"365nm",""))</f>
        <v>395nm</v>
      </c>
      <c r="Q65" s="22">
        <v>0.375</v>
      </c>
      <c r="R65" s="28">
        <v>72</v>
      </c>
      <c r="S65" s="28">
        <v>82</v>
      </c>
      <c r="T65" s="28"/>
      <c r="U65" s="28">
        <f>IF(ISNUMBER(INDEX(Table7[Tape],MATCH(QualData[[#This Row],[Trial 1]],Table7[Can],0))),INDEX(Table7[Tape],MATCH(QualData[[#This Row],[Trial 1]],Table7[Can],0)),"")</f>
        <v>0</v>
      </c>
      <c r="V65" s="28">
        <f>IF(ISNUMBER(INDEX(Table7[Tape],MATCH(QualData[[#This Row],[Trial 2]],Table7[Can],0))),INDEX(Table7[Tape],MATCH(QualData[[#This Row],[Trial 2]],Table7[Can],0)),"")</f>
        <v>0</v>
      </c>
      <c r="W65" s="28" t="str">
        <f>IF(ISNUMBER(INDEX(Table7[Tape],MATCH(QualData[[#This Row],[Trial 3]],Table7[Can],0))),INDEX(Table7[Tape],MATCH(QualData[[#This Row],[Trial 3]],Table7[Can],0)),"")</f>
        <v/>
      </c>
      <c r="X65" s="28">
        <f>IF(ISNUMBER(INDEX(Table7[Scratch],MATCH(QualData[[#This Row],[Trial 1]],Table7[Can],0))),INDEX(Table7[Scratch],MATCH(QualData[[#This Row],[Trial 1]],Table7[Can],0)),"")</f>
        <v>4</v>
      </c>
      <c r="Y65" s="28">
        <f>IF(ISNUMBER(INDEX(Table7[Scratch],MATCH(QualData[[#This Row],[Trial 2]],Table7[Can],0))),INDEX(Table7[Scratch],MATCH(QualData[[#This Row],[Trial 2]],Table7[Can],0)),"")</f>
        <v>4</v>
      </c>
      <c r="Z65" s="28" t="str">
        <f>IF(ISNUMBER(INDEX(Table7[Scratch],MATCH(QualData[[#This Row],[Trial 3]],Table7[Can],0))),INDEX(Table7[Scratch],MATCH(QualData[[#This Row],[Trial 3]],Table7[Can],0)),"")</f>
        <v/>
      </c>
      <c r="AA65" s="54">
        <f>IFERROR(AVERAGE(QualData[[#This Row],[Trial 1 Tape Score]:[Trial 3 Tape Score]])/4,"")</f>
        <v>0</v>
      </c>
      <c r="AB65" s="54">
        <f>IFERROR(AVERAGE(QualData[[#This Row],[Trial 1 Scratch Score]:[Trial 3 Scratch Score]])/4,"")</f>
        <v>1</v>
      </c>
    </row>
    <row r="66" spans="3:28" x14ac:dyDescent="0.25">
      <c r="C66" s="37">
        <v>44385</v>
      </c>
      <c r="D66" s="36">
        <v>41</v>
      </c>
      <c r="E66" s="41">
        <v>0.5</v>
      </c>
      <c r="F66" s="41"/>
      <c r="G66" s="41">
        <v>0.25</v>
      </c>
      <c r="H66" s="12">
        <f>QualData[[#This Row],[395nm Power Setting (%)]]*16</f>
        <v>8</v>
      </c>
      <c r="I66" s="12">
        <f>QualData[[#This Row],[365nm Power Setting (%)]]*8</f>
        <v>0</v>
      </c>
      <c r="J66" s="13">
        <f>QualData[[#This Row],[275nm Power (%)]]*3</f>
        <v>0.75</v>
      </c>
      <c r="K66">
        <v>30</v>
      </c>
      <c r="L66">
        <f>60*QualData[[#This Row],[395nm Irr. (W/cm2)]]/QualData[[#This Row],[Conveyor Speed (ft/min)]]</f>
        <v>16</v>
      </c>
      <c r="M66" s="26">
        <f>60*QualData[[#This Row],[365nm Irr. (W/cm2)]]/QualData[[#This Row],[Conveyor Speed (ft/min)]]</f>
        <v>0</v>
      </c>
      <c r="N66" s="26">
        <f>60*QualData[[#This Row],[275nm Irr. (W/cm2)]]/QualData[[#This Row],[Conveyor Speed (ft/min)]]</f>
        <v>1.5</v>
      </c>
      <c r="O66" s="26">
        <f>SUM(QualData[[#This Row],[395nm Normalized Dose]:[275nm Normalized Dose]])</f>
        <v>17.5</v>
      </c>
      <c r="P66" s="26" t="str">
        <f>IF(QualData[[#This Row],[395nm Normalized Dose]],"395nm",IF(QualData[[#This Row],[365nm Normalized Dose]],"365nm",""))</f>
        <v>395nm</v>
      </c>
      <c r="Q66">
        <v>0.375</v>
      </c>
      <c r="R66" s="28">
        <v>73</v>
      </c>
      <c r="S66" s="28">
        <v>83</v>
      </c>
      <c r="T66" s="28"/>
      <c r="U66" s="28">
        <f>IF(ISNUMBER(INDEX(Table7[Tape],MATCH(QualData[[#This Row],[Trial 1]],Table7[Can],0))),INDEX(Table7[Tape],MATCH(QualData[[#This Row],[Trial 1]],Table7[Can],0)),"")</f>
        <v>1</v>
      </c>
      <c r="V66" s="28">
        <f>IF(ISNUMBER(INDEX(Table7[Tape],MATCH(QualData[[#This Row],[Trial 2]],Table7[Can],0))),INDEX(Table7[Tape],MATCH(QualData[[#This Row],[Trial 2]],Table7[Can],0)),"")</f>
        <v>1</v>
      </c>
      <c r="W66" s="28" t="str">
        <f>IF(ISNUMBER(INDEX(Table7[Tape],MATCH(QualData[[#This Row],[Trial 3]],Table7[Can],0))),INDEX(Table7[Tape],MATCH(QualData[[#This Row],[Trial 3]],Table7[Can],0)),"")</f>
        <v/>
      </c>
      <c r="X66" s="28">
        <f>IF(ISNUMBER(INDEX(Table7[Scratch],MATCH(QualData[[#This Row],[Trial 1]],Table7[Can],0))),INDEX(Table7[Scratch],MATCH(QualData[[#This Row],[Trial 1]],Table7[Can],0)),"")</f>
        <v>2</v>
      </c>
      <c r="Y66" s="28">
        <f>IF(ISNUMBER(INDEX(Table7[Scratch],MATCH(QualData[[#This Row],[Trial 2]],Table7[Can],0))),INDEX(Table7[Scratch],MATCH(QualData[[#This Row],[Trial 2]],Table7[Can],0)),"")</f>
        <v>4</v>
      </c>
      <c r="Z66" s="28" t="str">
        <f>IF(ISNUMBER(INDEX(Table7[Scratch],MATCH(QualData[[#This Row],[Trial 3]],Table7[Can],0))),INDEX(Table7[Scratch],MATCH(QualData[[#This Row],[Trial 3]],Table7[Can],0)),"")</f>
        <v/>
      </c>
      <c r="AA66" s="54">
        <f>IFERROR(AVERAGE(QualData[[#This Row],[Trial 1 Tape Score]:[Trial 3 Tape Score]])/4,"")</f>
        <v>0.25</v>
      </c>
      <c r="AB66" s="54">
        <f>IFERROR(AVERAGE(QualData[[#This Row],[Trial 1 Scratch Score]:[Trial 3 Scratch Score]])/4,"")</f>
        <v>0.75</v>
      </c>
    </row>
    <row r="67" spans="3:28" x14ac:dyDescent="0.25">
      <c r="C67" s="37">
        <v>44385</v>
      </c>
      <c r="D67" s="36">
        <v>42</v>
      </c>
      <c r="E67" s="41">
        <v>0.5</v>
      </c>
      <c r="F67" s="41"/>
      <c r="G67" s="41">
        <v>0.5</v>
      </c>
      <c r="H67" s="12">
        <f>QualData[[#This Row],[395nm Power Setting (%)]]*16</f>
        <v>8</v>
      </c>
      <c r="I67" s="12">
        <f>QualData[[#This Row],[365nm Power Setting (%)]]*8</f>
        <v>0</v>
      </c>
      <c r="J67" s="13">
        <f>QualData[[#This Row],[275nm Power (%)]]*3</f>
        <v>1.5</v>
      </c>
      <c r="K67">
        <v>30</v>
      </c>
      <c r="L67">
        <f>60*QualData[[#This Row],[395nm Irr. (W/cm2)]]/QualData[[#This Row],[Conveyor Speed (ft/min)]]</f>
        <v>16</v>
      </c>
      <c r="M67" s="26">
        <f>60*QualData[[#This Row],[365nm Irr. (W/cm2)]]/QualData[[#This Row],[Conveyor Speed (ft/min)]]</f>
        <v>0</v>
      </c>
      <c r="N67" s="26">
        <f>60*QualData[[#This Row],[275nm Irr. (W/cm2)]]/QualData[[#This Row],[Conveyor Speed (ft/min)]]</f>
        <v>3</v>
      </c>
      <c r="O67" s="26">
        <f>SUM(QualData[[#This Row],[395nm Normalized Dose]:[275nm Normalized Dose]])</f>
        <v>19</v>
      </c>
      <c r="P67" s="26" t="str">
        <f>IF(QualData[[#This Row],[395nm Normalized Dose]],"395nm",IF(QualData[[#This Row],[365nm Normalized Dose]],"365nm",""))</f>
        <v>395nm</v>
      </c>
      <c r="Q67">
        <v>0.375</v>
      </c>
      <c r="R67" s="28">
        <v>74</v>
      </c>
      <c r="S67" s="28">
        <v>84</v>
      </c>
      <c r="T67" s="28"/>
      <c r="U67" s="28">
        <f>IF(ISNUMBER(INDEX(Table7[Tape],MATCH(QualData[[#This Row],[Trial 1]],Table7[Can],0))),INDEX(Table7[Tape],MATCH(QualData[[#This Row],[Trial 1]],Table7[Can],0)),"")</f>
        <v>2</v>
      </c>
      <c r="V67" s="28">
        <f>IF(ISNUMBER(INDEX(Table7[Tape],MATCH(QualData[[#This Row],[Trial 2]],Table7[Can],0))),INDEX(Table7[Tape],MATCH(QualData[[#This Row],[Trial 2]],Table7[Can],0)),"")</f>
        <v>2</v>
      </c>
      <c r="W67" s="28" t="str">
        <f>IF(ISNUMBER(INDEX(Table7[Tape],MATCH(QualData[[#This Row],[Trial 3]],Table7[Can],0))),INDEX(Table7[Tape],MATCH(QualData[[#This Row],[Trial 3]],Table7[Can],0)),"")</f>
        <v/>
      </c>
      <c r="X67" s="28">
        <f>IF(ISNUMBER(INDEX(Table7[Scratch],MATCH(QualData[[#This Row],[Trial 1]],Table7[Can],0))),INDEX(Table7[Scratch],MATCH(QualData[[#This Row],[Trial 1]],Table7[Can],0)),"")</f>
        <v>4</v>
      </c>
      <c r="Y67" s="28">
        <f>IF(ISNUMBER(INDEX(Table7[Scratch],MATCH(QualData[[#This Row],[Trial 2]],Table7[Can],0))),INDEX(Table7[Scratch],MATCH(QualData[[#This Row],[Trial 2]],Table7[Can],0)),"")</f>
        <v>4</v>
      </c>
      <c r="Z67" s="28" t="str">
        <f>IF(ISNUMBER(INDEX(Table7[Scratch],MATCH(QualData[[#This Row],[Trial 3]],Table7[Can],0))),INDEX(Table7[Scratch],MATCH(QualData[[#This Row],[Trial 3]],Table7[Can],0)),"")</f>
        <v/>
      </c>
      <c r="AA67" s="54">
        <f>IFERROR(AVERAGE(QualData[[#This Row],[Trial 1 Tape Score]:[Trial 3 Tape Score]])/4,"")</f>
        <v>0.5</v>
      </c>
      <c r="AB67" s="54">
        <f>IFERROR(AVERAGE(QualData[[#This Row],[Trial 1 Scratch Score]:[Trial 3 Scratch Score]])/4,"")</f>
        <v>1</v>
      </c>
    </row>
    <row r="68" spans="3:28" x14ac:dyDescent="0.25">
      <c r="C68" s="37">
        <v>44385</v>
      </c>
      <c r="D68" s="36">
        <v>43</v>
      </c>
      <c r="E68" s="41">
        <v>0.5</v>
      </c>
      <c r="F68" s="41"/>
      <c r="G68" s="41">
        <v>0.75</v>
      </c>
      <c r="H68" s="12">
        <f>QualData[[#This Row],[395nm Power Setting (%)]]*16</f>
        <v>8</v>
      </c>
      <c r="I68" s="12">
        <f>QualData[[#This Row],[365nm Power Setting (%)]]*8</f>
        <v>0</v>
      </c>
      <c r="J68" s="13">
        <f>QualData[[#This Row],[275nm Power (%)]]*3</f>
        <v>2.25</v>
      </c>
      <c r="K68">
        <v>30</v>
      </c>
      <c r="L68">
        <f>60*QualData[[#This Row],[395nm Irr. (W/cm2)]]/QualData[[#This Row],[Conveyor Speed (ft/min)]]</f>
        <v>16</v>
      </c>
      <c r="M68" s="26">
        <f>60*QualData[[#This Row],[365nm Irr. (W/cm2)]]/QualData[[#This Row],[Conveyor Speed (ft/min)]]</f>
        <v>0</v>
      </c>
      <c r="N68" s="26">
        <f>60*QualData[[#This Row],[275nm Irr. (W/cm2)]]/QualData[[#This Row],[Conveyor Speed (ft/min)]]</f>
        <v>4.5</v>
      </c>
      <c r="O68" s="26">
        <f>SUM(QualData[[#This Row],[395nm Normalized Dose]:[275nm Normalized Dose]])</f>
        <v>20.5</v>
      </c>
      <c r="P68" s="26" t="str">
        <f>IF(QualData[[#This Row],[395nm Normalized Dose]],"395nm",IF(QualData[[#This Row],[365nm Normalized Dose]],"365nm",""))</f>
        <v>395nm</v>
      </c>
      <c r="Q68">
        <v>0.375</v>
      </c>
      <c r="R68" s="28">
        <v>75</v>
      </c>
      <c r="S68" s="28">
        <v>85</v>
      </c>
      <c r="T68" s="28"/>
      <c r="U68" s="28">
        <f>IF(ISNUMBER(INDEX(Table7[Tape],MATCH(QualData[[#This Row],[Trial 1]],Table7[Can],0))),INDEX(Table7[Tape],MATCH(QualData[[#This Row],[Trial 1]],Table7[Can],0)),"")</f>
        <v>2</v>
      </c>
      <c r="V68" s="28">
        <f>IF(ISNUMBER(INDEX(Table7[Tape],MATCH(QualData[[#This Row],[Trial 2]],Table7[Can],0))),INDEX(Table7[Tape],MATCH(QualData[[#This Row],[Trial 2]],Table7[Can],0)),"")</f>
        <v>2</v>
      </c>
      <c r="W68" s="28" t="str">
        <f>IF(ISNUMBER(INDEX(Table7[Tape],MATCH(QualData[[#This Row],[Trial 3]],Table7[Can],0))),INDEX(Table7[Tape],MATCH(QualData[[#This Row],[Trial 3]],Table7[Can],0)),"")</f>
        <v/>
      </c>
      <c r="X68" s="28">
        <f>IF(ISNUMBER(INDEX(Table7[Scratch],MATCH(QualData[[#This Row],[Trial 1]],Table7[Can],0))),INDEX(Table7[Scratch],MATCH(QualData[[#This Row],[Trial 1]],Table7[Can],0)),"")</f>
        <v>4</v>
      </c>
      <c r="Y68" s="28">
        <f>IF(ISNUMBER(INDEX(Table7[Scratch],MATCH(QualData[[#This Row],[Trial 2]],Table7[Can],0))),INDEX(Table7[Scratch],MATCH(QualData[[#This Row],[Trial 2]],Table7[Can],0)),"")</f>
        <v>4</v>
      </c>
      <c r="Z68" s="28" t="str">
        <f>IF(ISNUMBER(INDEX(Table7[Scratch],MATCH(QualData[[#This Row],[Trial 3]],Table7[Can],0))),INDEX(Table7[Scratch],MATCH(QualData[[#This Row],[Trial 3]],Table7[Can],0)),"")</f>
        <v/>
      </c>
      <c r="AA68" s="54">
        <f>IFERROR(AVERAGE(QualData[[#This Row],[Trial 1 Tape Score]:[Trial 3 Tape Score]])/4,"")</f>
        <v>0.5</v>
      </c>
      <c r="AB68" s="54">
        <f>IFERROR(AVERAGE(QualData[[#This Row],[Trial 1 Scratch Score]:[Trial 3 Scratch Score]])/4,"")</f>
        <v>1</v>
      </c>
    </row>
    <row r="69" spans="3:28" x14ac:dyDescent="0.25">
      <c r="C69" s="37">
        <v>44385</v>
      </c>
      <c r="D69" s="36">
        <v>44</v>
      </c>
      <c r="E69" s="41">
        <v>0.5</v>
      </c>
      <c r="F69" s="41"/>
      <c r="G69" s="41">
        <v>1</v>
      </c>
      <c r="H69" s="12">
        <f>QualData[[#This Row],[395nm Power Setting (%)]]*16</f>
        <v>8</v>
      </c>
      <c r="I69" s="12">
        <f>QualData[[#This Row],[365nm Power Setting (%)]]*8</f>
        <v>0</v>
      </c>
      <c r="J69" s="13">
        <f>QualData[[#This Row],[275nm Power (%)]]*3</f>
        <v>3</v>
      </c>
      <c r="K69">
        <v>30</v>
      </c>
      <c r="L69">
        <f>60*QualData[[#This Row],[395nm Irr. (W/cm2)]]/QualData[[#This Row],[Conveyor Speed (ft/min)]]</f>
        <v>16</v>
      </c>
      <c r="M69" s="26">
        <f>60*QualData[[#This Row],[365nm Irr. (W/cm2)]]/QualData[[#This Row],[Conveyor Speed (ft/min)]]</f>
        <v>0</v>
      </c>
      <c r="N69" s="26">
        <f>60*QualData[[#This Row],[275nm Irr. (W/cm2)]]/QualData[[#This Row],[Conveyor Speed (ft/min)]]</f>
        <v>6</v>
      </c>
      <c r="O69" s="26">
        <f>SUM(QualData[[#This Row],[395nm Normalized Dose]:[275nm Normalized Dose]])</f>
        <v>22</v>
      </c>
      <c r="P69" s="26" t="str">
        <f>IF(QualData[[#This Row],[395nm Normalized Dose]],"395nm",IF(QualData[[#This Row],[365nm Normalized Dose]],"365nm",""))</f>
        <v>395nm</v>
      </c>
      <c r="Q69">
        <v>0.375</v>
      </c>
      <c r="R69" s="28">
        <v>76</v>
      </c>
      <c r="S69" s="28">
        <v>86</v>
      </c>
      <c r="T69" s="28"/>
      <c r="U69" s="28">
        <f>IF(ISNUMBER(INDEX(Table7[Tape],MATCH(QualData[[#This Row],[Trial 1]],Table7[Can],0))),INDEX(Table7[Tape],MATCH(QualData[[#This Row],[Trial 1]],Table7[Can],0)),"")</f>
        <v>3</v>
      </c>
      <c r="V69" s="28">
        <f>IF(ISNUMBER(INDEX(Table7[Tape],MATCH(QualData[[#This Row],[Trial 2]],Table7[Can],0))),INDEX(Table7[Tape],MATCH(QualData[[#This Row],[Trial 2]],Table7[Can],0)),"")</f>
        <v>2</v>
      </c>
      <c r="W69" s="28" t="str">
        <f>IF(ISNUMBER(INDEX(Table7[Tape],MATCH(QualData[[#This Row],[Trial 3]],Table7[Can],0))),INDEX(Table7[Tape],MATCH(QualData[[#This Row],[Trial 3]],Table7[Can],0)),"")</f>
        <v/>
      </c>
      <c r="X69" s="28">
        <f>IF(ISNUMBER(INDEX(Table7[Scratch],MATCH(QualData[[#This Row],[Trial 1]],Table7[Can],0))),INDEX(Table7[Scratch],MATCH(QualData[[#This Row],[Trial 1]],Table7[Can],0)),"")</f>
        <v>4</v>
      </c>
      <c r="Y69" s="28">
        <f>IF(ISNUMBER(INDEX(Table7[Scratch],MATCH(QualData[[#This Row],[Trial 2]],Table7[Can],0))),INDEX(Table7[Scratch],MATCH(QualData[[#This Row],[Trial 2]],Table7[Can],0)),"")</f>
        <v>4</v>
      </c>
      <c r="Z69" s="28" t="str">
        <f>IF(ISNUMBER(INDEX(Table7[Scratch],MATCH(QualData[[#This Row],[Trial 3]],Table7[Can],0))),INDEX(Table7[Scratch],MATCH(QualData[[#This Row],[Trial 3]],Table7[Can],0)),"")</f>
        <v/>
      </c>
      <c r="AA69" s="54">
        <f>IFERROR(AVERAGE(QualData[[#This Row],[Trial 1 Tape Score]:[Trial 3 Tape Score]])/4,"")</f>
        <v>0.625</v>
      </c>
      <c r="AB69" s="54">
        <f>IFERROR(AVERAGE(QualData[[#This Row],[Trial 1 Scratch Score]:[Trial 3 Scratch Score]])/4,"")</f>
        <v>1</v>
      </c>
    </row>
    <row r="70" spans="3:28" x14ac:dyDescent="0.25">
      <c r="C70" s="37">
        <v>44385</v>
      </c>
      <c r="D70" s="36">
        <v>45</v>
      </c>
      <c r="E70" s="40"/>
      <c r="F70" s="41">
        <v>0.25</v>
      </c>
      <c r="G70" s="41">
        <v>0.5</v>
      </c>
      <c r="H70" s="12">
        <f>QualData[[#This Row],[395nm Power Setting (%)]]*16</f>
        <v>0</v>
      </c>
      <c r="I70" s="12">
        <f>QualData[[#This Row],[365nm Power Setting (%)]]*8</f>
        <v>2</v>
      </c>
      <c r="J70" s="13">
        <f>QualData[[#This Row],[275nm Power (%)]]*3</f>
        <v>1.5</v>
      </c>
      <c r="K70">
        <v>30</v>
      </c>
      <c r="L70" s="26">
        <f>60*QualData[[#This Row],[395nm Irr. (W/cm2)]]/QualData[[#This Row],[Conveyor Speed (ft/min)]]</f>
        <v>0</v>
      </c>
      <c r="M70" s="26">
        <f>60*QualData[[#This Row],[365nm Irr. (W/cm2)]]/QualData[[#This Row],[Conveyor Speed (ft/min)]]</f>
        <v>4</v>
      </c>
      <c r="N70" s="26">
        <f>60*QualData[[#This Row],[275nm Irr. (W/cm2)]]/QualData[[#This Row],[Conveyor Speed (ft/min)]]</f>
        <v>3</v>
      </c>
      <c r="O70" s="26">
        <f>SUM(QualData[[#This Row],[395nm Normalized Dose]:[275nm Normalized Dose]])</f>
        <v>7</v>
      </c>
      <c r="P70" s="26" t="str">
        <f>IF(QualData[[#This Row],[395nm Normalized Dose]],"395nm",IF(QualData[[#This Row],[365nm Normalized Dose]],"365nm",""))</f>
        <v>365nm</v>
      </c>
      <c r="Q70">
        <v>0.375</v>
      </c>
      <c r="R70" s="28">
        <v>87</v>
      </c>
      <c r="S70" s="28">
        <v>101</v>
      </c>
      <c r="T70" s="28"/>
      <c r="U70" s="28">
        <f>IF(ISNUMBER(INDEX(Table7[Tape],MATCH(QualData[[#This Row],[Trial 1]],Table7[Can],0))),INDEX(Table7[Tape],MATCH(QualData[[#This Row],[Trial 1]],Table7[Can],0)),"")</f>
        <v>3</v>
      </c>
      <c r="V70" s="28">
        <f>IF(ISNUMBER(INDEX(Table7[Tape],MATCH(QualData[[#This Row],[Trial 2]],Table7[Can],0))),INDEX(Table7[Tape],MATCH(QualData[[#This Row],[Trial 2]],Table7[Can],0)),"")</f>
        <v>2</v>
      </c>
      <c r="W70" s="28" t="str">
        <f>IF(ISNUMBER(INDEX(Table7[Tape],MATCH(QualData[[#This Row],[Trial 3]],Table7[Can],0))),INDEX(Table7[Tape],MATCH(QualData[[#This Row],[Trial 3]],Table7[Can],0)),"")</f>
        <v/>
      </c>
      <c r="X70" s="28">
        <f>IF(ISNUMBER(INDEX(Table7[Scratch],MATCH(QualData[[#This Row],[Trial 1]],Table7[Can],0))),INDEX(Table7[Scratch],MATCH(QualData[[#This Row],[Trial 1]],Table7[Can],0)),"")</f>
        <v>4</v>
      </c>
      <c r="Y70" s="28">
        <f>IF(ISNUMBER(INDEX(Table7[Scratch],MATCH(QualData[[#This Row],[Trial 2]],Table7[Can],0))),INDEX(Table7[Scratch],MATCH(QualData[[#This Row],[Trial 2]],Table7[Can],0)),"")</f>
        <v>4</v>
      </c>
      <c r="Z70" s="28" t="str">
        <f>IF(ISNUMBER(INDEX(Table7[Scratch],MATCH(QualData[[#This Row],[Trial 3]],Table7[Can],0))),INDEX(Table7[Scratch],MATCH(QualData[[#This Row],[Trial 3]],Table7[Can],0)),"")</f>
        <v/>
      </c>
      <c r="AA70" s="54">
        <f>IFERROR(AVERAGE(QualData[[#This Row],[Trial 1 Tape Score]:[Trial 3 Tape Score]])/4,"")</f>
        <v>0.625</v>
      </c>
      <c r="AB70" s="54">
        <f>IFERROR(AVERAGE(QualData[[#This Row],[Trial 1 Scratch Score]:[Trial 3 Scratch Score]])/4,"")</f>
        <v>1</v>
      </c>
    </row>
    <row r="71" spans="3:28" x14ac:dyDescent="0.25">
      <c r="C71" s="37">
        <v>44385</v>
      </c>
      <c r="D71" s="36">
        <v>46</v>
      </c>
      <c r="E71" s="40"/>
      <c r="F71" s="41">
        <v>0.25</v>
      </c>
      <c r="G71" s="41">
        <v>0.75</v>
      </c>
      <c r="H71" s="12">
        <f>QualData[[#This Row],[395nm Power Setting (%)]]*16</f>
        <v>0</v>
      </c>
      <c r="I71" s="12">
        <f>QualData[[#This Row],[365nm Power Setting (%)]]*8</f>
        <v>2</v>
      </c>
      <c r="J71" s="13">
        <f>QualData[[#This Row],[275nm Power (%)]]*3</f>
        <v>2.25</v>
      </c>
      <c r="K71">
        <v>30</v>
      </c>
      <c r="L71" s="26">
        <f>60*QualData[[#This Row],[395nm Irr. (W/cm2)]]/QualData[[#This Row],[Conveyor Speed (ft/min)]]</f>
        <v>0</v>
      </c>
      <c r="M71" s="26">
        <f>60*QualData[[#This Row],[365nm Irr. (W/cm2)]]/QualData[[#This Row],[Conveyor Speed (ft/min)]]</f>
        <v>4</v>
      </c>
      <c r="N71" s="26">
        <f>60*QualData[[#This Row],[275nm Irr. (W/cm2)]]/QualData[[#This Row],[Conveyor Speed (ft/min)]]</f>
        <v>4.5</v>
      </c>
      <c r="O71" s="26">
        <f>SUM(QualData[[#This Row],[395nm Normalized Dose]:[275nm Normalized Dose]])</f>
        <v>8.5</v>
      </c>
      <c r="P71" s="26" t="str">
        <f>IF(QualData[[#This Row],[395nm Normalized Dose]],"395nm",IF(QualData[[#This Row],[365nm Normalized Dose]],"365nm",""))</f>
        <v>365nm</v>
      </c>
      <c r="Q71">
        <v>0.375</v>
      </c>
      <c r="R71" s="28">
        <v>88</v>
      </c>
      <c r="S71" s="28">
        <v>102</v>
      </c>
      <c r="T71" s="28"/>
      <c r="U71" s="28">
        <f>IF(ISNUMBER(INDEX(Table7[Tape],MATCH(QualData[[#This Row],[Trial 1]],Table7[Can],0))),INDEX(Table7[Tape],MATCH(QualData[[#This Row],[Trial 1]],Table7[Can],0)),"")</f>
        <v>3</v>
      </c>
      <c r="V71" s="28">
        <f>IF(ISNUMBER(INDEX(Table7[Tape],MATCH(QualData[[#This Row],[Trial 2]],Table7[Can],0))),INDEX(Table7[Tape],MATCH(QualData[[#This Row],[Trial 2]],Table7[Can],0)),"")</f>
        <v>3</v>
      </c>
      <c r="W71" s="28" t="str">
        <f>IF(ISNUMBER(INDEX(Table7[Tape],MATCH(QualData[[#This Row],[Trial 3]],Table7[Can],0))),INDEX(Table7[Tape],MATCH(QualData[[#This Row],[Trial 3]],Table7[Can],0)),"")</f>
        <v/>
      </c>
      <c r="X71" s="28">
        <f>IF(ISNUMBER(INDEX(Table7[Scratch],MATCH(QualData[[#This Row],[Trial 1]],Table7[Can],0))),INDEX(Table7[Scratch],MATCH(QualData[[#This Row],[Trial 1]],Table7[Can],0)),"")</f>
        <v>4</v>
      </c>
      <c r="Y71" s="28">
        <f>IF(ISNUMBER(INDEX(Table7[Scratch],MATCH(QualData[[#This Row],[Trial 2]],Table7[Can],0))),INDEX(Table7[Scratch],MATCH(QualData[[#This Row],[Trial 2]],Table7[Can],0)),"")</f>
        <v>4</v>
      </c>
      <c r="Z71" s="28" t="str">
        <f>IF(ISNUMBER(INDEX(Table7[Scratch],MATCH(QualData[[#This Row],[Trial 3]],Table7[Can],0))),INDEX(Table7[Scratch],MATCH(QualData[[#This Row],[Trial 3]],Table7[Can],0)),"")</f>
        <v/>
      </c>
      <c r="AA71" s="54">
        <f>IFERROR(AVERAGE(QualData[[#This Row],[Trial 1 Tape Score]:[Trial 3 Tape Score]])/4,"")</f>
        <v>0.75</v>
      </c>
      <c r="AB71" s="54">
        <f>IFERROR(AVERAGE(QualData[[#This Row],[Trial 1 Scratch Score]:[Trial 3 Scratch Score]])/4,"")</f>
        <v>1</v>
      </c>
    </row>
    <row r="72" spans="3:28" x14ac:dyDescent="0.25">
      <c r="C72" s="37">
        <v>44385</v>
      </c>
      <c r="D72" s="36">
        <v>47</v>
      </c>
      <c r="E72" s="40"/>
      <c r="F72" s="41">
        <v>0.25</v>
      </c>
      <c r="G72" s="41">
        <v>1</v>
      </c>
      <c r="H72" s="12">
        <f>QualData[[#This Row],[395nm Power Setting (%)]]*16</f>
        <v>0</v>
      </c>
      <c r="I72" s="12">
        <f>QualData[[#This Row],[365nm Power Setting (%)]]*8</f>
        <v>2</v>
      </c>
      <c r="J72" s="13">
        <f>QualData[[#This Row],[275nm Power (%)]]*3</f>
        <v>3</v>
      </c>
      <c r="K72">
        <v>30</v>
      </c>
      <c r="L72" s="26">
        <f>60*QualData[[#This Row],[395nm Irr. (W/cm2)]]/QualData[[#This Row],[Conveyor Speed (ft/min)]]</f>
        <v>0</v>
      </c>
      <c r="M72" s="26">
        <f>60*QualData[[#This Row],[365nm Irr. (W/cm2)]]/QualData[[#This Row],[Conveyor Speed (ft/min)]]</f>
        <v>4</v>
      </c>
      <c r="N72" s="26">
        <f>60*QualData[[#This Row],[275nm Irr. (W/cm2)]]/QualData[[#This Row],[Conveyor Speed (ft/min)]]</f>
        <v>6</v>
      </c>
      <c r="O72" s="26">
        <f>SUM(QualData[[#This Row],[395nm Normalized Dose]:[275nm Normalized Dose]])</f>
        <v>10</v>
      </c>
      <c r="P72" s="26" t="str">
        <f>IF(QualData[[#This Row],[395nm Normalized Dose]],"395nm",IF(QualData[[#This Row],[365nm Normalized Dose]],"365nm",""))</f>
        <v>365nm</v>
      </c>
      <c r="Q72">
        <v>0.375</v>
      </c>
      <c r="R72" s="28">
        <v>89</v>
      </c>
      <c r="S72" s="28">
        <v>103</v>
      </c>
      <c r="T72" s="28"/>
      <c r="U72" s="28">
        <f>IF(ISNUMBER(INDEX(Table7[Tape],MATCH(QualData[[#This Row],[Trial 1]],Table7[Can],0))),INDEX(Table7[Tape],MATCH(QualData[[#This Row],[Trial 1]],Table7[Can],0)),"")</f>
        <v>4</v>
      </c>
      <c r="V72" s="28">
        <f>IF(ISNUMBER(INDEX(Table7[Tape],MATCH(QualData[[#This Row],[Trial 2]],Table7[Can],0))),INDEX(Table7[Tape],MATCH(QualData[[#This Row],[Trial 2]],Table7[Can],0)),"")</f>
        <v>3</v>
      </c>
      <c r="W72" s="28" t="str">
        <f>IF(ISNUMBER(INDEX(Table7[Tape],MATCH(QualData[[#This Row],[Trial 3]],Table7[Can],0))),INDEX(Table7[Tape],MATCH(QualData[[#This Row],[Trial 3]],Table7[Can],0)),"")</f>
        <v/>
      </c>
      <c r="X72" s="28">
        <f>IF(ISNUMBER(INDEX(Table7[Scratch],MATCH(QualData[[#This Row],[Trial 1]],Table7[Can],0))),INDEX(Table7[Scratch],MATCH(QualData[[#This Row],[Trial 1]],Table7[Can],0)),"")</f>
        <v>4</v>
      </c>
      <c r="Y72" s="28">
        <f>IF(ISNUMBER(INDEX(Table7[Scratch],MATCH(QualData[[#This Row],[Trial 2]],Table7[Can],0))),INDEX(Table7[Scratch],MATCH(QualData[[#This Row],[Trial 2]],Table7[Can],0)),"")</f>
        <v>4</v>
      </c>
      <c r="Z72" s="28" t="str">
        <f>IF(ISNUMBER(INDEX(Table7[Scratch],MATCH(QualData[[#This Row],[Trial 3]],Table7[Can],0))),INDEX(Table7[Scratch],MATCH(QualData[[#This Row],[Trial 3]],Table7[Can],0)),"")</f>
        <v/>
      </c>
      <c r="AA72" s="54">
        <f>IFERROR(AVERAGE(QualData[[#This Row],[Trial 1 Tape Score]:[Trial 3 Tape Score]])/4,"")</f>
        <v>0.875</v>
      </c>
      <c r="AB72" s="54">
        <f>IFERROR(AVERAGE(QualData[[#This Row],[Trial 1 Scratch Score]:[Trial 3 Scratch Score]])/4,"")</f>
        <v>1</v>
      </c>
    </row>
    <row r="73" spans="3:28" x14ac:dyDescent="0.25">
      <c r="C73" s="37">
        <v>44385</v>
      </c>
      <c r="D73" s="36">
        <v>48</v>
      </c>
      <c r="E73" s="40"/>
      <c r="F73" s="41">
        <v>0.125</v>
      </c>
      <c r="G73" s="41">
        <v>0.5</v>
      </c>
      <c r="H73" s="12">
        <f>QualData[[#This Row],[395nm Power Setting (%)]]*16</f>
        <v>0</v>
      </c>
      <c r="I73" s="12">
        <f>QualData[[#This Row],[365nm Power Setting (%)]]*8</f>
        <v>1</v>
      </c>
      <c r="J73" s="13">
        <f>QualData[[#This Row],[275nm Power (%)]]*3</f>
        <v>1.5</v>
      </c>
      <c r="K73">
        <v>30</v>
      </c>
      <c r="L73" s="26">
        <f>60*QualData[[#This Row],[395nm Irr. (W/cm2)]]/QualData[[#This Row],[Conveyor Speed (ft/min)]]</f>
        <v>0</v>
      </c>
      <c r="M73" s="26">
        <f>60*QualData[[#This Row],[365nm Irr. (W/cm2)]]/QualData[[#This Row],[Conveyor Speed (ft/min)]]</f>
        <v>2</v>
      </c>
      <c r="N73" s="26">
        <f>60*QualData[[#This Row],[275nm Irr. (W/cm2)]]/QualData[[#This Row],[Conveyor Speed (ft/min)]]</f>
        <v>3</v>
      </c>
      <c r="O73" s="26">
        <f>SUM(QualData[[#This Row],[395nm Normalized Dose]:[275nm Normalized Dose]])</f>
        <v>5</v>
      </c>
      <c r="P73" s="26" t="str">
        <f>IF(QualData[[#This Row],[395nm Normalized Dose]],"395nm",IF(QualData[[#This Row],[365nm Normalized Dose]],"365nm",""))</f>
        <v>365nm</v>
      </c>
      <c r="Q73">
        <v>0.375</v>
      </c>
      <c r="R73" s="28">
        <v>91</v>
      </c>
      <c r="S73" s="28">
        <v>105</v>
      </c>
      <c r="T73" s="28"/>
      <c r="U73" s="28">
        <f>IF(ISNUMBER(INDEX(Table7[Tape],MATCH(QualData[[#This Row],[Trial 1]],Table7[Can],0))),INDEX(Table7[Tape],MATCH(QualData[[#This Row],[Trial 1]],Table7[Can],0)),"")</f>
        <v>1</v>
      </c>
      <c r="V73" s="28">
        <f>IF(ISNUMBER(INDEX(Table7[Tape],MATCH(QualData[[#This Row],[Trial 2]],Table7[Can],0))),INDEX(Table7[Tape],MATCH(QualData[[#This Row],[Trial 2]],Table7[Can],0)),"")</f>
        <v>2</v>
      </c>
      <c r="W73" s="28" t="str">
        <f>IF(ISNUMBER(INDEX(Table7[Tape],MATCH(QualData[[#This Row],[Trial 3]],Table7[Can],0))),INDEX(Table7[Tape],MATCH(QualData[[#This Row],[Trial 3]],Table7[Can],0)),"")</f>
        <v/>
      </c>
      <c r="X73" s="28">
        <f>IF(ISNUMBER(INDEX(Table7[Scratch],MATCH(QualData[[#This Row],[Trial 1]],Table7[Can],0))),INDEX(Table7[Scratch],MATCH(QualData[[#This Row],[Trial 1]],Table7[Can],0)),"")</f>
        <v>4</v>
      </c>
      <c r="Y73" s="28">
        <f>IF(ISNUMBER(INDEX(Table7[Scratch],MATCH(QualData[[#This Row],[Trial 2]],Table7[Can],0))),INDEX(Table7[Scratch],MATCH(QualData[[#This Row],[Trial 2]],Table7[Can],0)),"")</f>
        <v>4</v>
      </c>
      <c r="Z73" s="28" t="str">
        <f>IF(ISNUMBER(INDEX(Table7[Scratch],MATCH(QualData[[#This Row],[Trial 3]],Table7[Can],0))),INDEX(Table7[Scratch],MATCH(QualData[[#This Row],[Trial 3]],Table7[Can],0)),"")</f>
        <v/>
      </c>
      <c r="AA73" s="54">
        <f>IFERROR(AVERAGE(QualData[[#This Row],[Trial 1 Tape Score]:[Trial 3 Tape Score]])/4,"")</f>
        <v>0.375</v>
      </c>
      <c r="AB73" s="54">
        <f>IFERROR(AVERAGE(QualData[[#This Row],[Trial 1 Scratch Score]:[Trial 3 Scratch Score]])/4,"")</f>
        <v>1</v>
      </c>
    </row>
    <row r="74" spans="3:28" x14ac:dyDescent="0.25">
      <c r="C74" s="37">
        <v>44385</v>
      </c>
      <c r="D74" s="36">
        <v>49</v>
      </c>
      <c r="E74" s="40"/>
      <c r="F74" s="41">
        <v>0.125</v>
      </c>
      <c r="G74" s="41">
        <v>0.75</v>
      </c>
      <c r="H74" s="12">
        <f>QualData[[#This Row],[395nm Power Setting (%)]]*16</f>
        <v>0</v>
      </c>
      <c r="I74" s="12">
        <f>QualData[[#This Row],[365nm Power Setting (%)]]*8</f>
        <v>1</v>
      </c>
      <c r="J74" s="13">
        <f>QualData[[#This Row],[275nm Power (%)]]*3</f>
        <v>2.25</v>
      </c>
      <c r="K74">
        <v>30</v>
      </c>
      <c r="L74" s="26">
        <f>60*QualData[[#This Row],[395nm Irr. (W/cm2)]]/QualData[[#This Row],[Conveyor Speed (ft/min)]]</f>
        <v>0</v>
      </c>
      <c r="M74" s="26">
        <f>60*QualData[[#This Row],[365nm Irr. (W/cm2)]]/QualData[[#This Row],[Conveyor Speed (ft/min)]]</f>
        <v>2</v>
      </c>
      <c r="N74" s="26">
        <f>60*QualData[[#This Row],[275nm Irr. (W/cm2)]]/QualData[[#This Row],[Conveyor Speed (ft/min)]]</f>
        <v>4.5</v>
      </c>
      <c r="O74" s="26">
        <f>SUM(QualData[[#This Row],[395nm Normalized Dose]:[275nm Normalized Dose]])</f>
        <v>6.5</v>
      </c>
      <c r="P74" s="26" t="str">
        <f>IF(QualData[[#This Row],[395nm Normalized Dose]],"395nm",IF(QualData[[#This Row],[365nm Normalized Dose]],"365nm",""))</f>
        <v>365nm</v>
      </c>
      <c r="Q74">
        <v>0.375</v>
      </c>
      <c r="R74" s="28">
        <v>92</v>
      </c>
      <c r="S74" s="28">
        <v>106</v>
      </c>
      <c r="T74" s="28"/>
      <c r="U74" s="28">
        <f>IF(ISNUMBER(INDEX(Table7[Tape],MATCH(QualData[[#This Row],[Trial 1]],Table7[Can],0))),INDEX(Table7[Tape],MATCH(QualData[[#This Row],[Trial 1]],Table7[Can],0)),"")</f>
        <v>2</v>
      </c>
      <c r="V74" s="28">
        <f>IF(ISNUMBER(INDEX(Table7[Tape],MATCH(QualData[[#This Row],[Trial 2]],Table7[Can],0))),INDEX(Table7[Tape],MATCH(QualData[[#This Row],[Trial 2]],Table7[Can],0)),"")</f>
        <v>3</v>
      </c>
      <c r="W74" s="28" t="str">
        <f>IF(ISNUMBER(INDEX(Table7[Tape],MATCH(QualData[[#This Row],[Trial 3]],Table7[Can],0))),INDEX(Table7[Tape],MATCH(QualData[[#This Row],[Trial 3]],Table7[Can],0)),"")</f>
        <v/>
      </c>
      <c r="X74" s="28">
        <f>IF(ISNUMBER(INDEX(Table7[Scratch],MATCH(QualData[[#This Row],[Trial 1]],Table7[Can],0))),INDEX(Table7[Scratch],MATCH(QualData[[#This Row],[Trial 1]],Table7[Can],0)),"")</f>
        <v>4</v>
      </c>
      <c r="Y74" s="28">
        <f>IF(ISNUMBER(INDEX(Table7[Scratch],MATCH(QualData[[#This Row],[Trial 2]],Table7[Can],0))),INDEX(Table7[Scratch],MATCH(QualData[[#This Row],[Trial 2]],Table7[Can],0)),"")</f>
        <v>4</v>
      </c>
      <c r="Z74" s="28" t="str">
        <f>IF(ISNUMBER(INDEX(Table7[Scratch],MATCH(QualData[[#This Row],[Trial 3]],Table7[Can],0))),INDEX(Table7[Scratch],MATCH(QualData[[#This Row],[Trial 3]],Table7[Can],0)),"")</f>
        <v/>
      </c>
      <c r="AA74" s="54">
        <f>IFERROR(AVERAGE(QualData[[#This Row],[Trial 1 Tape Score]:[Trial 3 Tape Score]])/4,"")</f>
        <v>0.625</v>
      </c>
      <c r="AB74" s="54">
        <f>IFERROR(AVERAGE(QualData[[#This Row],[Trial 1 Scratch Score]:[Trial 3 Scratch Score]])/4,"")</f>
        <v>1</v>
      </c>
    </row>
    <row r="75" spans="3:28" x14ac:dyDescent="0.25">
      <c r="C75" s="37">
        <v>44385</v>
      </c>
      <c r="D75" s="36">
        <v>50</v>
      </c>
      <c r="E75" s="40"/>
      <c r="F75" s="41">
        <v>0.125</v>
      </c>
      <c r="G75" s="41">
        <v>1</v>
      </c>
      <c r="H75" s="12">
        <f>QualData[[#This Row],[395nm Power Setting (%)]]*16</f>
        <v>0</v>
      </c>
      <c r="I75" s="12">
        <f>QualData[[#This Row],[365nm Power Setting (%)]]*8</f>
        <v>1</v>
      </c>
      <c r="J75" s="13">
        <f>QualData[[#This Row],[275nm Power (%)]]*3</f>
        <v>3</v>
      </c>
      <c r="K75">
        <v>30</v>
      </c>
      <c r="L75" s="26">
        <f>60*QualData[[#This Row],[395nm Irr. (W/cm2)]]/QualData[[#This Row],[Conveyor Speed (ft/min)]]</f>
        <v>0</v>
      </c>
      <c r="M75" s="26">
        <f>60*QualData[[#This Row],[365nm Irr. (W/cm2)]]/QualData[[#This Row],[Conveyor Speed (ft/min)]]</f>
        <v>2</v>
      </c>
      <c r="N75" s="26">
        <f>60*QualData[[#This Row],[275nm Irr. (W/cm2)]]/QualData[[#This Row],[Conveyor Speed (ft/min)]]</f>
        <v>6</v>
      </c>
      <c r="O75" s="26">
        <f>SUM(QualData[[#This Row],[395nm Normalized Dose]:[275nm Normalized Dose]])</f>
        <v>8</v>
      </c>
      <c r="P75" s="26" t="str">
        <f>IF(QualData[[#This Row],[395nm Normalized Dose]],"395nm",IF(QualData[[#This Row],[365nm Normalized Dose]],"365nm",""))</f>
        <v>365nm</v>
      </c>
      <c r="Q75">
        <v>0.375</v>
      </c>
      <c r="R75" s="28">
        <v>93</v>
      </c>
      <c r="S75" s="28">
        <v>107</v>
      </c>
      <c r="T75" s="28"/>
      <c r="U75" s="28">
        <f>IF(ISNUMBER(INDEX(Table7[Tape],MATCH(QualData[[#This Row],[Trial 1]],Table7[Can],0))),INDEX(Table7[Tape],MATCH(QualData[[#This Row],[Trial 1]],Table7[Can],0)),"")</f>
        <v>3</v>
      </c>
      <c r="V75" s="28">
        <f>IF(ISNUMBER(INDEX(Table7[Tape],MATCH(QualData[[#This Row],[Trial 2]],Table7[Can],0))),INDEX(Table7[Tape],MATCH(QualData[[#This Row],[Trial 2]],Table7[Can],0)),"")</f>
        <v>3</v>
      </c>
      <c r="W75" s="28" t="str">
        <f>IF(ISNUMBER(INDEX(Table7[Tape],MATCH(QualData[[#This Row],[Trial 3]],Table7[Can],0))),INDEX(Table7[Tape],MATCH(QualData[[#This Row],[Trial 3]],Table7[Can],0)),"")</f>
        <v/>
      </c>
      <c r="X75" s="28">
        <f>IF(ISNUMBER(INDEX(Table7[Scratch],MATCH(QualData[[#This Row],[Trial 1]],Table7[Can],0))),INDEX(Table7[Scratch],MATCH(QualData[[#This Row],[Trial 1]],Table7[Can],0)),"")</f>
        <v>4</v>
      </c>
      <c r="Y75" s="28">
        <f>IF(ISNUMBER(INDEX(Table7[Scratch],MATCH(QualData[[#This Row],[Trial 2]],Table7[Can],0))),INDEX(Table7[Scratch],MATCH(QualData[[#This Row],[Trial 2]],Table7[Can],0)),"")</f>
        <v>4</v>
      </c>
      <c r="Z75" s="28" t="str">
        <f>IF(ISNUMBER(INDEX(Table7[Scratch],MATCH(QualData[[#This Row],[Trial 3]],Table7[Can],0))),INDEX(Table7[Scratch],MATCH(QualData[[#This Row],[Trial 3]],Table7[Can],0)),"")</f>
        <v/>
      </c>
      <c r="AA75" s="54">
        <f>IFERROR(AVERAGE(QualData[[#This Row],[Trial 1 Tape Score]:[Trial 3 Tape Score]])/4,"")</f>
        <v>0.75</v>
      </c>
      <c r="AB75" s="54">
        <f>IFERROR(AVERAGE(QualData[[#This Row],[Trial 1 Scratch Score]:[Trial 3 Scratch Score]])/4,"")</f>
        <v>1</v>
      </c>
    </row>
    <row r="76" spans="3:28" x14ac:dyDescent="0.25">
      <c r="C76" s="37">
        <v>44385</v>
      </c>
      <c r="D76" s="36">
        <v>51</v>
      </c>
      <c r="E76" s="40">
        <v>0.25</v>
      </c>
      <c r="F76" s="41"/>
      <c r="G76" s="41">
        <v>0</v>
      </c>
      <c r="H76" s="12">
        <f>QualData[[#This Row],[395nm Power Setting (%)]]*16</f>
        <v>4</v>
      </c>
      <c r="I76" s="12">
        <f>QualData[[#This Row],[365nm Power Setting (%)]]*8</f>
        <v>0</v>
      </c>
      <c r="J76" s="13">
        <f>QualData[[#This Row],[275nm Power (%)]]*3</f>
        <v>0</v>
      </c>
      <c r="K76">
        <v>30</v>
      </c>
      <c r="L76" s="26">
        <f>60*QualData[[#This Row],[395nm Irr. (W/cm2)]]/QualData[[#This Row],[Conveyor Speed (ft/min)]]</f>
        <v>8</v>
      </c>
      <c r="M76" s="26">
        <f>60*QualData[[#This Row],[365nm Irr. (W/cm2)]]/QualData[[#This Row],[Conveyor Speed (ft/min)]]</f>
        <v>0</v>
      </c>
      <c r="N76" s="26">
        <f>60*QualData[[#This Row],[275nm Irr. (W/cm2)]]/QualData[[#This Row],[Conveyor Speed (ft/min)]]</f>
        <v>0</v>
      </c>
      <c r="O76" s="26">
        <f>SUM(QualData[[#This Row],[395nm Normalized Dose]:[275nm Normalized Dose]])</f>
        <v>8</v>
      </c>
      <c r="P76" s="26" t="str">
        <f>IF(QualData[[#This Row],[395nm Normalized Dose]],"395nm",IF(QualData[[#This Row],[365nm Normalized Dose]],"365nm",""))</f>
        <v>395nm</v>
      </c>
      <c r="Q76">
        <v>0.375</v>
      </c>
      <c r="R76" s="28">
        <v>94</v>
      </c>
      <c r="S76" s="28">
        <v>108</v>
      </c>
      <c r="T76" s="28"/>
      <c r="U76" s="28">
        <f>IF(ISNUMBER(INDEX(Table7[Tape],MATCH(QualData[[#This Row],[Trial 1]],Table7[Can],0))),INDEX(Table7[Tape],MATCH(QualData[[#This Row],[Trial 1]],Table7[Can],0)),"")</f>
        <v>0</v>
      </c>
      <c r="V76" s="28">
        <f>IF(ISNUMBER(INDEX(Table7[Tape],MATCH(QualData[[#This Row],[Trial 2]],Table7[Can],0))),INDEX(Table7[Tape],MATCH(QualData[[#This Row],[Trial 2]],Table7[Can],0)),"")</f>
        <v>0</v>
      </c>
      <c r="W76" s="28" t="str">
        <f>IF(ISNUMBER(INDEX(Table7[Tape],MATCH(QualData[[#This Row],[Trial 3]],Table7[Can],0))),INDEX(Table7[Tape],MATCH(QualData[[#This Row],[Trial 3]],Table7[Can],0)),"")</f>
        <v/>
      </c>
      <c r="X76" s="28">
        <f>IF(ISNUMBER(INDEX(Table7[Scratch],MATCH(QualData[[#This Row],[Trial 1]],Table7[Can],0))),INDEX(Table7[Scratch],MATCH(QualData[[#This Row],[Trial 1]],Table7[Can],0)),"")</f>
        <v>2</v>
      </c>
      <c r="Y76" s="28">
        <f>IF(ISNUMBER(INDEX(Table7[Scratch],MATCH(QualData[[#This Row],[Trial 2]],Table7[Can],0))),INDEX(Table7[Scratch],MATCH(QualData[[#This Row],[Trial 2]],Table7[Can],0)),"")</f>
        <v>4</v>
      </c>
      <c r="Z76" s="28" t="str">
        <f>IF(ISNUMBER(INDEX(Table7[Scratch],MATCH(QualData[[#This Row],[Trial 3]],Table7[Can],0))),INDEX(Table7[Scratch],MATCH(QualData[[#This Row],[Trial 3]],Table7[Can],0)),"")</f>
        <v/>
      </c>
      <c r="AA76" s="54">
        <f>IFERROR(AVERAGE(QualData[[#This Row],[Trial 1 Tape Score]:[Trial 3 Tape Score]])/4,"")</f>
        <v>0</v>
      </c>
      <c r="AB76" s="54">
        <f>IFERROR(AVERAGE(QualData[[#This Row],[Trial 1 Scratch Score]:[Trial 3 Scratch Score]])/4,"")</f>
        <v>0.75</v>
      </c>
    </row>
    <row r="77" spans="3:28" x14ac:dyDescent="0.25">
      <c r="C77" s="37">
        <v>44385</v>
      </c>
      <c r="D77" s="36">
        <v>52</v>
      </c>
      <c r="E77" s="40">
        <v>0.25</v>
      </c>
      <c r="F77" s="41"/>
      <c r="G77" s="41">
        <v>0.25</v>
      </c>
      <c r="H77" s="12">
        <f>QualData[[#This Row],[395nm Power Setting (%)]]*16</f>
        <v>4</v>
      </c>
      <c r="I77" s="12">
        <f>QualData[[#This Row],[365nm Power Setting (%)]]*8</f>
        <v>0</v>
      </c>
      <c r="J77" s="13">
        <f>QualData[[#This Row],[275nm Power (%)]]*3</f>
        <v>0.75</v>
      </c>
      <c r="K77">
        <v>30</v>
      </c>
      <c r="L77" s="26">
        <f>60*QualData[[#This Row],[395nm Irr. (W/cm2)]]/QualData[[#This Row],[Conveyor Speed (ft/min)]]</f>
        <v>8</v>
      </c>
      <c r="M77" s="26">
        <f>60*QualData[[#This Row],[365nm Irr. (W/cm2)]]/QualData[[#This Row],[Conveyor Speed (ft/min)]]</f>
        <v>0</v>
      </c>
      <c r="N77" s="26">
        <f>60*QualData[[#This Row],[275nm Irr. (W/cm2)]]/QualData[[#This Row],[Conveyor Speed (ft/min)]]</f>
        <v>1.5</v>
      </c>
      <c r="O77" s="26">
        <f>SUM(QualData[[#This Row],[395nm Normalized Dose]:[275nm Normalized Dose]])</f>
        <v>9.5</v>
      </c>
      <c r="P77" s="26" t="str">
        <f>IF(QualData[[#This Row],[395nm Normalized Dose]],"395nm",IF(QualData[[#This Row],[365nm Normalized Dose]],"365nm",""))</f>
        <v>395nm</v>
      </c>
      <c r="Q77">
        <v>0.375</v>
      </c>
      <c r="R77" s="28">
        <v>95</v>
      </c>
      <c r="S77" s="28">
        <v>109</v>
      </c>
      <c r="T77" s="28"/>
      <c r="U77" s="28">
        <f>IF(ISNUMBER(INDEX(Table7[Tape],MATCH(QualData[[#This Row],[Trial 1]],Table7[Can],0))),INDEX(Table7[Tape],MATCH(QualData[[#This Row],[Trial 1]],Table7[Can],0)),"")</f>
        <v>1</v>
      </c>
      <c r="V77" s="28">
        <f>IF(ISNUMBER(INDEX(Table7[Tape],MATCH(QualData[[#This Row],[Trial 2]],Table7[Can],0))),INDEX(Table7[Tape],MATCH(QualData[[#This Row],[Trial 2]],Table7[Can],0)),"")</f>
        <v>1</v>
      </c>
      <c r="W77" s="28" t="str">
        <f>IF(ISNUMBER(INDEX(Table7[Tape],MATCH(QualData[[#This Row],[Trial 3]],Table7[Can],0))),INDEX(Table7[Tape],MATCH(QualData[[#This Row],[Trial 3]],Table7[Can],0)),"")</f>
        <v/>
      </c>
      <c r="X77" s="28">
        <f>IF(ISNUMBER(INDEX(Table7[Scratch],MATCH(QualData[[#This Row],[Trial 1]],Table7[Can],0))),INDEX(Table7[Scratch],MATCH(QualData[[#This Row],[Trial 1]],Table7[Can],0)),"")</f>
        <v>4</v>
      </c>
      <c r="Y77" s="28">
        <f>IF(ISNUMBER(INDEX(Table7[Scratch],MATCH(QualData[[#This Row],[Trial 2]],Table7[Can],0))),INDEX(Table7[Scratch],MATCH(QualData[[#This Row],[Trial 2]],Table7[Can],0)),"")</f>
        <v>4</v>
      </c>
      <c r="Z77" s="28" t="str">
        <f>IF(ISNUMBER(INDEX(Table7[Scratch],MATCH(QualData[[#This Row],[Trial 3]],Table7[Can],0))),INDEX(Table7[Scratch],MATCH(QualData[[#This Row],[Trial 3]],Table7[Can],0)),"")</f>
        <v/>
      </c>
      <c r="AA77" s="54">
        <f>IFERROR(AVERAGE(QualData[[#This Row],[Trial 1 Tape Score]:[Trial 3 Tape Score]])/4,"")</f>
        <v>0.25</v>
      </c>
      <c r="AB77" s="54">
        <f>IFERROR(AVERAGE(QualData[[#This Row],[Trial 1 Scratch Score]:[Trial 3 Scratch Score]])/4,"")</f>
        <v>1</v>
      </c>
    </row>
    <row r="78" spans="3:28" x14ac:dyDescent="0.25">
      <c r="C78" s="37">
        <v>44385</v>
      </c>
      <c r="D78" s="36">
        <v>53</v>
      </c>
      <c r="E78" s="40">
        <v>0.25</v>
      </c>
      <c r="F78" s="41"/>
      <c r="G78" s="41">
        <v>0.5</v>
      </c>
      <c r="H78" s="12">
        <f>QualData[[#This Row],[395nm Power Setting (%)]]*16</f>
        <v>4</v>
      </c>
      <c r="I78" s="12">
        <f>QualData[[#This Row],[365nm Power Setting (%)]]*8</f>
        <v>0</v>
      </c>
      <c r="J78" s="13">
        <f>QualData[[#This Row],[275nm Power (%)]]*3</f>
        <v>1.5</v>
      </c>
      <c r="K78">
        <v>30</v>
      </c>
      <c r="L78" s="26">
        <f>60*QualData[[#This Row],[395nm Irr. (W/cm2)]]/QualData[[#This Row],[Conveyor Speed (ft/min)]]</f>
        <v>8</v>
      </c>
      <c r="M78" s="26">
        <f>60*QualData[[#This Row],[365nm Irr. (W/cm2)]]/QualData[[#This Row],[Conveyor Speed (ft/min)]]</f>
        <v>0</v>
      </c>
      <c r="N78" s="26">
        <f>60*QualData[[#This Row],[275nm Irr. (W/cm2)]]/QualData[[#This Row],[Conveyor Speed (ft/min)]]</f>
        <v>3</v>
      </c>
      <c r="O78" s="26">
        <f>SUM(QualData[[#This Row],[395nm Normalized Dose]:[275nm Normalized Dose]])</f>
        <v>11</v>
      </c>
      <c r="P78" s="26" t="str">
        <f>IF(QualData[[#This Row],[395nm Normalized Dose]],"395nm",IF(QualData[[#This Row],[365nm Normalized Dose]],"365nm",""))</f>
        <v>395nm</v>
      </c>
      <c r="Q78">
        <v>0.375</v>
      </c>
      <c r="R78" s="28">
        <v>96</v>
      </c>
      <c r="S78" s="28">
        <v>110</v>
      </c>
      <c r="T78" s="28"/>
      <c r="U78" s="28">
        <f>IF(ISNUMBER(INDEX(Table7[Tape],MATCH(QualData[[#This Row],[Trial 1]],Table7[Can],0))),INDEX(Table7[Tape],MATCH(QualData[[#This Row],[Trial 1]],Table7[Can],0)),"")</f>
        <v>1</v>
      </c>
      <c r="V78" s="28">
        <f>IF(ISNUMBER(INDEX(Table7[Tape],MATCH(QualData[[#This Row],[Trial 2]],Table7[Can],0))),INDEX(Table7[Tape],MATCH(QualData[[#This Row],[Trial 2]],Table7[Can],0)),"")</f>
        <v>2</v>
      </c>
      <c r="W78" s="28" t="str">
        <f>IF(ISNUMBER(INDEX(Table7[Tape],MATCH(QualData[[#This Row],[Trial 3]],Table7[Can],0))),INDEX(Table7[Tape],MATCH(QualData[[#This Row],[Trial 3]],Table7[Can],0)),"")</f>
        <v/>
      </c>
      <c r="X78" s="28">
        <f>IF(ISNUMBER(INDEX(Table7[Scratch],MATCH(QualData[[#This Row],[Trial 1]],Table7[Can],0))),INDEX(Table7[Scratch],MATCH(QualData[[#This Row],[Trial 1]],Table7[Can],0)),"")</f>
        <v>4</v>
      </c>
      <c r="Y78" s="28">
        <f>IF(ISNUMBER(INDEX(Table7[Scratch],MATCH(QualData[[#This Row],[Trial 2]],Table7[Can],0))),INDEX(Table7[Scratch],MATCH(QualData[[#This Row],[Trial 2]],Table7[Can],0)),"")</f>
        <v>4</v>
      </c>
      <c r="Z78" s="28" t="str">
        <f>IF(ISNUMBER(INDEX(Table7[Scratch],MATCH(QualData[[#This Row],[Trial 3]],Table7[Can],0))),INDEX(Table7[Scratch],MATCH(QualData[[#This Row],[Trial 3]],Table7[Can],0)),"")</f>
        <v/>
      </c>
      <c r="AA78" s="54">
        <f>IFERROR(AVERAGE(QualData[[#This Row],[Trial 1 Tape Score]:[Trial 3 Tape Score]])/4,"")</f>
        <v>0.375</v>
      </c>
      <c r="AB78" s="54">
        <f>IFERROR(AVERAGE(QualData[[#This Row],[Trial 1 Scratch Score]:[Trial 3 Scratch Score]])/4,"")</f>
        <v>1</v>
      </c>
    </row>
    <row r="79" spans="3:28" x14ac:dyDescent="0.25">
      <c r="C79" s="37">
        <v>44385</v>
      </c>
      <c r="D79" s="36">
        <v>54</v>
      </c>
      <c r="E79" s="40">
        <v>0.25</v>
      </c>
      <c r="F79" s="41"/>
      <c r="G79" s="41">
        <v>0.75</v>
      </c>
      <c r="H79" s="12">
        <f>QualData[[#This Row],[395nm Power Setting (%)]]*16</f>
        <v>4</v>
      </c>
      <c r="I79" s="12">
        <f>QualData[[#This Row],[365nm Power Setting (%)]]*8</f>
        <v>0</v>
      </c>
      <c r="J79" s="13">
        <f>QualData[[#This Row],[275nm Power (%)]]*3</f>
        <v>2.25</v>
      </c>
      <c r="K79">
        <v>30</v>
      </c>
      <c r="L79" s="26">
        <f>60*QualData[[#This Row],[395nm Irr. (W/cm2)]]/QualData[[#This Row],[Conveyor Speed (ft/min)]]</f>
        <v>8</v>
      </c>
      <c r="M79" s="26">
        <f>60*QualData[[#This Row],[365nm Irr. (W/cm2)]]/QualData[[#This Row],[Conveyor Speed (ft/min)]]</f>
        <v>0</v>
      </c>
      <c r="N79" s="26">
        <f>60*QualData[[#This Row],[275nm Irr. (W/cm2)]]/QualData[[#This Row],[Conveyor Speed (ft/min)]]</f>
        <v>4.5</v>
      </c>
      <c r="O79" s="26">
        <f>SUM(QualData[[#This Row],[395nm Normalized Dose]:[275nm Normalized Dose]])</f>
        <v>12.5</v>
      </c>
      <c r="P79" s="26" t="str">
        <f>IF(QualData[[#This Row],[395nm Normalized Dose]],"395nm",IF(QualData[[#This Row],[365nm Normalized Dose]],"365nm",""))</f>
        <v>395nm</v>
      </c>
      <c r="Q79">
        <v>0.375</v>
      </c>
      <c r="R79" s="28">
        <v>97</v>
      </c>
      <c r="S79" s="28">
        <v>111</v>
      </c>
      <c r="T79" s="28"/>
      <c r="U79" s="28">
        <f>IF(ISNUMBER(INDEX(Table7[Tape],MATCH(QualData[[#This Row],[Trial 1]],Table7[Can],0))),INDEX(Table7[Tape],MATCH(QualData[[#This Row],[Trial 1]],Table7[Can],0)),"")</f>
        <v>2</v>
      </c>
      <c r="V79" s="28">
        <f>IF(ISNUMBER(INDEX(Table7[Tape],MATCH(QualData[[#This Row],[Trial 2]],Table7[Can],0))),INDEX(Table7[Tape],MATCH(QualData[[#This Row],[Trial 2]],Table7[Can],0)),"")</f>
        <v>2</v>
      </c>
      <c r="W79" s="28" t="str">
        <f>IF(ISNUMBER(INDEX(Table7[Tape],MATCH(QualData[[#This Row],[Trial 3]],Table7[Can],0))),INDEX(Table7[Tape],MATCH(QualData[[#This Row],[Trial 3]],Table7[Can],0)),"")</f>
        <v/>
      </c>
      <c r="X79" s="28">
        <f>IF(ISNUMBER(INDEX(Table7[Scratch],MATCH(QualData[[#This Row],[Trial 1]],Table7[Can],0))),INDEX(Table7[Scratch],MATCH(QualData[[#This Row],[Trial 1]],Table7[Can],0)),"")</f>
        <v>4</v>
      </c>
      <c r="Y79" s="28">
        <f>IF(ISNUMBER(INDEX(Table7[Scratch],MATCH(QualData[[#This Row],[Trial 2]],Table7[Can],0))),INDEX(Table7[Scratch],MATCH(QualData[[#This Row],[Trial 2]],Table7[Can],0)),"")</f>
        <v>4</v>
      </c>
      <c r="Z79" s="28" t="str">
        <f>IF(ISNUMBER(INDEX(Table7[Scratch],MATCH(QualData[[#This Row],[Trial 3]],Table7[Can],0))),INDEX(Table7[Scratch],MATCH(QualData[[#This Row],[Trial 3]],Table7[Can],0)),"")</f>
        <v/>
      </c>
      <c r="AA79" s="54">
        <f>IFERROR(AVERAGE(QualData[[#This Row],[Trial 1 Tape Score]:[Trial 3 Tape Score]])/4,"")</f>
        <v>0.5</v>
      </c>
      <c r="AB79" s="54">
        <f>IFERROR(AVERAGE(QualData[[#This Row],[Trial 1 Scratch Score]:[Trial 3 Scratch Score]])/4,"")</f>
        <v>1</v>
      </c>
    </row>
    <row r="80" spans="3:28" x14ac:dyDescent="0.25">
      <c r="C80" s="37">
        <v>44385</v>
      </c>
      <c r="D80" s="36">
        <v>55</v>
      </c>
      <c r="E80" s="40">
        <v>0.25</v>
      </c>
      <c r="F80" s="41"/>
      <c r="G80" s="41">
        <v>1</v>
      </c>
      <c r="H80" s="12">
        <f>QualData[[#This Row],[395nm Power Setting (%)]]*16</f>
        <v>4</v>
      </c>
      <c r="I80" s="12">
        <f>QualData[[#This Row],[365nm Power Setting (%)]]*8</f>
        <v>0</v>
      </c>
      <c r="J80" s="13">
        <f>QualData[[#This Row],[275nm Power (%)]]*3</f>
        <v>3</v>
      </c>
      <c r="K80">
        <v>30</v>
      </c>
      <c r="L80" s="26">
        <f>60*QualData[[#This Row],[395nm Irr. (W/cm2)]]/QualData[[#This Row],[Conveyor Speed (ft/min)]]</f>
        <v>8</v>
      </c>
      <c r="M80" s="26">
        <f>60*QualData[[#This Row],[365nm Irr. (W/cm2)]]/QualData[[#This Row],[Conveyor Speed (ft/min)]]</f>
        <v>0</v>
      </c>
      <c r="N80" s="26">
        <f>60*QualData[[#This Row],[275nm Irr. (W/cm2)]]/QualData[[#This Row],[Conveyor Speed (ft/min)]]</f>
        <v>6</v>
      </c>
      <c r="O80" s="26">
        <f>SUM(QualData[[#This Row],[395nm Normalized Dose]:[275nm Normalized Dose]])</f>
        <v>14</v>
      </c>
      <c r="P80" s="26" t="str">
        <f>IF(QualData[[#This Row],[395nm Normalized Dose]],"395nm",IF(QualData[[#This Row],[365nm Normalized Dose]],"365nm",""))</f>
        <v>395nm</v>
      </c>
      <c r="Q80">
        <v>0.375</v>
      </c>
      <c r="R80" s="28">
        <v>98</v>
      </c>
      <c r="S80" s="28">
        <v>112</v>
      </c>
      <c r="T80" s="28"/>
      <c r="U80" s="28">
        <f>IF(ISNUMBER(INDEX(Table7[Tape],MATCH(QualData[[#This Row],[Trial 1]],Table7[Can],0))),INDEX(Table7[Tape],MATCH(QualData[[#This Row],[Trial 1]],Table7[Can],0)),"")</f>
        <v>2</v>
      </c>
      <c r="V80" s="28">
        <f>IF(ISNUMBER(INDEX(Table7[Tape],MATCH(QualData[[#This Row],[Trial 2]],Table7[Can],0))),INDEX(Table7[Tape],MATCH(QualData[[#This Row],[Trial 2]],Table7[Can],0)),"")</f>
        <v>3</v>
      </c>
      <c r="W80" s="28" t="str">
        <f>IF(ISNUMBER(INDEX(Table7[Tape],MATCH(QualData[[#This Row],[Trial 3]],Table7[Can],0))),INDEX(Table7[Tape],MATCH(QualData[[#This Row],[Trial 3]],Table7[Can],0)),"")</f>
        <v/>
      </c>
      <c r="X80" s="28">
        <f>IF(ISNUMBER(INDEX(Table7[Scratch],MATCH(QualData[[#This Row],[Trial 1]],Table7[Can],0))),INDEX(Table7[Scratch],MATCH(QualData[[#This Row],[Trial 1]],Table7[Can],0)),"")</f>
        <v>4</v>
      </c>
      <c r="Y80" s="28">
        <f>IF(ISNUMBER(INDEX(Table7[Scratch],MATCH(QualData[[#This Row],[Trial 2]],Table7[Can],0))),INDEX(Table7[Scratch],MATCH(QualData[[#This Row],[Trial 2]],Table7[Can],0)),"")</f>
        <v>4</v>
      </c>
      <c r="Z80" s="28" t="str">
        <f>IF(ISNUMBER(INDEX(Table7[Scratch],MATCH(QualData[[#This Row],[Trial 3]],Table7[Can],0))),INDEX(Table7[Scratch],MATCH(QualData[[#This Row],[Trial 3]],Table7[Can],0)),"")</f>
        <v/>
      </c>
      <c r="AA80" s="54">
        <f>IFERROR(AVERAGE(QualData[[#This Row],[Trial 1 Tape Score]:[Trial 3 Tape Score]])/4,"")</f>
        <v>0.625</v>
      </c>
      <c r="AB80" s="54">
        <f>IFERROR(AVERAGE(QualData[[#This Row],[Trial 1 Scratch Score]:[Trial 3 Scratch Score]])/4,"")</f>
        <v>1</v>
      </c>
    </row>
    <row r="81" spans="3:28" x14ac:dyDescent="0.25">
      <c r="C81" s="37">
        <v>44385</v>
      </c>
      <c r="D81" s="36">
        <v>56</v>
      </c>
      <c r="E81" s="40">
        <v>0.25</v>
      </c>
      <c r="F81" s="41"/>
      <c r="G81" s="41">
        <v>0</v>
      </c>
      <c r="H81" s="12">
        <f>QualData[[#This Row],[395nm Power Setting (%)]]*16</f>
        <v>4</v>
      </c>
      <c r="I81" s="12">
        <f>QualData[[#This Row],[365nm Power Setting (%)]]*8</f>
        <v>0</v>
      </c>
      <c r="J81" s="13">
        <f>QualData[[#This Row],[275nm Power (%)]]*3</f>
        <v>0</v>
      </c>
      <c r="K81">
        <v>60</v>
      </c>
      <c r="L81" s="26">
        <f>60*QualData[[#This Row],[395nm Irr. (W/cm2)]]/QualData[[#This Row],[Conveyor Speed (ft/min)]]</f>
        <v>4</v>
      </c>
      <c r="M81" s="26">
        <f>60*QualData[[#This Row],[365nm Irr. (W/cm2)]]/QualData[[#This Row],[Conveyor Speed (ft/min)]]</f>
        <v>0</v>
      </c>
      <c r="N81" s="26">
        <f>60*QualData[[#This Row],[275nm Irr. (W/cm2)]]/QualData[[#This Row],[Conveyor Speed (ft/min)]]</f>
        <v>0</v>
      </c>
      <c r="O81" s="26">
        <f>SUM(QualData[[#This Row],[395nm Normalized Dose]:[275nm Normalized Dose]])</f>
        <v>4</v>
      </c>
      <c r="P81" s="26" t="str">
        <f>IF(QualData[[#This Row],[395nm Normalized Dose]],"395nm",IF(QualData[[#This Row],[365nm Normalized Dose]],"365nm",""))</f>
        <v>395nm</v>
      </c>
      <c r="Q81">
        <v>0.375</v>
      </c>
      <c r="R81" s="28">
        <v>99</v>
      </c>
      <c r="S81" s="28">
        <v>113</v>
      </c>
      <c r="T81" s="28"/>
      <c r="U81" s="28">
        <f>IF(ISNUMBER(INDEX(Table7[Tape],MATCH(QualData[[#This Row],[Trial 1]],Table7[Can],0))),INDEX(Table7[Tape],MATCH(QualData[[#This Row],[Trial 1]],Table7[Can],0)),"")</f>
        <v>0</v>
      </c>
      <c r="V81" s="28">
        <f>IF(ISNUMBER(INDEX(Table7[Tape],MATCH(QualData[[#This Row],[Trial 2]],Table7[Can],0))),INDEX(Table7[Tape],MATCH(QualData[[#This Row],[Trial 2]],Table7[Can],0)),"")</f>
        <v>0</v>
      </c>
      <c r="W81" s="28" t="str">
        <f>IF(ISNUMBER(INDEX(Table7[Tape],MATCH(QualData[[#This Row],[Trial 3]],Table7[Can],0))),INDEX(Table7[Tape],MATCH(QualData[[#This Row],[Trial 3]],Table7[Can],0)),"")</f>
        <v/>
      </c>
      <c r="X81" s="28">
        <f>IF(ISNUMBER(INDEX(Table7[Scratch],MATCH(QualData[[#This Row],[Trial 1]],Table7[Can],0))),INDEX(Table7[Scratch],MATCH(QualData[[#This Row],[Trial 1]],Table7[Can],0)),"")</f>
        <v>0</v>
      </c>
      <c r="Y81" s="28">
        <f>IF(ISNUMBER(INDEX(Table7[Scratch],MATCH(QualData[[#This Row],[Trial 2]],Table7[Can],0))),INDEX(Table7[Scratch],MATCH(QualData[[#This Row],[Trial 2]],Table7[Can],0)),"")</f>
        <v>0</v>
      </c>
      <c r="Z81" s="28" t="str">
        <f>IF(ISNUMBER(INDEX(Table7[Scratch],MATCH(QualData[[#This Row],[Trial 3]],Table7[Can],0))),INDEX(Table7[Scratch],MATCH(QualData[[#This Row],[Trial 3]],Table7[Can],0)),"")</f>
        <v/>
      </c>
      <c r="AA81" s="54">
        <f>IFERROR(AVERAGE(QualData[[#This Row],[Trial 1 Tape Score]:[Trial 3 Tape Score]])/4,"")</f>
        <v>0</v>
      </c>
      <c r="AB81" s="54">
        <f>IFERROR(AVERAGE(QualData[[#This Row],[Trial 1 Scratch Score]:[Trial 3 Scratch Score]])/4,"")</f>
        <v>0</v>
      </c>
    </row>
    <row r="82" spans="3:28" x14ac:dyDescent="0.25">
      <c r="C82" s="37">
        <v>44385</v>
      </c>
      <c r="D82" s="36">
        <v>57</v>
      </c>
      <c r="E82" s="40">
        <v>0.25</v>
      </c>
      <c r="F82" s="41"/>
      <c r="G82" s="41">
        <v>0.5</v>
      </c>
      <c r="H82" s="12">
        <f>QualData[[#This Row],[395nm Power Setting (%)]]*16</f>
        <v>4</v>
      </c>
      <c r="I82" s="12">
        <f>QualData[[#This Row],[365nm Power Setting (%)]]*8</f>
        <v>0</v>
      </c>
      <c r="J82" s="13">
        <f>QualData[[#This Row],[275nm Power (%)]]*3</f>
        <v>1.5</v>
      </c>
      <c r="K82">
        <v>60</v>
      </c>
      <c r="L82" s="26">
        <f>60*QualData[[#This Row],[395nm Irr. (W/cm2)]]/QualData[[#This Row],[Conveyor Speed (ft/min)]]</f>
        <v>4</v>
      </c>
      <c r="M82" s="26">
        <f>60*QualData[[#This Row],[365nm Irr. (W/cm2)]]/QualData[[#This Row],[Conveyor Speed (ft/min)]]</f>
        <v>0</v>
      </c>
      <c r="N82" s="26">
        <f>60*QualData[[#This Row],[275nm Irr. (W/cm2)]]/QualData[[#This Row],[Conveyor Speed (ft/min)]]</f>
        <v>1.5</v>
      </c>
      <c r="O82" s="26">
        <f>SUM(QualData[[#This Row],[395nm Normalized Dose]:[275nm Normalized Dose]])</f>
        <v>5.5</v>
      </c>
      <c r="P82" s="26" t="str">
        <f>IF(QualData[[#This Row],[395nm Normalized Dose]],"395nm",IF(QualData[[#This Row],[365nm Normalized Dose]],"365nm",""))</f>
        <v>395nm</v>
      </c>
      <c r="Q82">
        <v>0.375</v>
      </c>
      <c r="R82" s="28">
        <v>100</v>
      </c>
      <c r="S82" s="28">
        <v>114</v>
      </c>
      <c r="T82" s="28"/>
      <c r="U82" s="28">
        <f>IF(ISNUMBER(INDEX(Table7[Tape],MATCH(QualData[[#This Row],[Trial 1]],Table7[Can],0))),INDEX(Table7[Tape],MATCH(QualData[[#This Row],[Trial 1]],Table7[Can],0)),"")</f>
        <v>1</v>
      </c>
      <c r="V82" s="28">
        <f>IF(ISNUMBER(INDEX(Table7[Tape],MATCH(QualData[[#This Row],[Trial 2]],Table7[Can],0))),INDEX(Table7[Tape],MATCH(QualData[[#This Row],[Trial 2]],Table7[Can],0)),"")</f>
        <v>2</v>
      </c>
      <c r="W82" s="28" t="str">
        <f>IF(ISNUMBER(INDEX(Table7[Tape],MATCH(QualData[[#This Row],[Trial 3]],Table7[Can],0))),INDEX(Table7[Tape],MATCH(QualData[[#This Row],[Trial 3]],Table7[Can],0)),"")</f>
        <v/>
      </c>
      <c r="X82" s="28">
        <f>IF(ISNUMBER(INDEX(Table7[Scratch],MATCH(QualData[[#This Row],[Trial 1]],Table7[Can],0))),INDEX(Table7[Scratch],MATCH(QualData[[#This Row],[Trial 1]],Table7[Can],0)),"")</f>
        <v>1</v>
      </c>
      <c r="Y82" s="28">
        <f>IF(ISNUMBER(INDEX(Table7[Scratch],MATCH(QualData[[#This Row],[Trial 2]],Table7[Can],0))),INDEX(Table7[Scratch],MATCH(QualData[[#This Row],[Trial 2]],Table7[Can],0)),"")</f>
        <v>4</v>
      </c>
      <c r="Z82" s="28" t="str">
        <f>IF(ISNUMBER(INDEX(Table7[Scratch],MATCH(QualData[[#This Row],[Trial 3]],Table7[Can],0))),INDEX(Table7[Scratch],MATCH(QualData[[#This Row],[Trial 3]],Table7[Can],0)),"")</f>
        <v/>
      </c>
      <c r="AA82" s="54">
        <f>IFERROR(AVERAGE(QualData[[#This Row],[Trial 1 Tape Score]:[Trial 3 Tape Score]])/4,"")</f>
        <v>0.375</v>
      </c>
      <c r="AB82" s="54">
        <f>IFERROR(AVERAGE(QualData[[#This Row],[Trial 1 Scratch Score]:[Trial 3 Scratch Score]])/4,"")</f>
        <v>0.625</v>
      </c>
    </row>
    <row r="83" spans="3:28" x14ac:dyDescent="0.25">
      <c r="C83" s="37">
        <v>44385</v>
      </c>
      <c r="D83" s="36">
        <v>58</v>
      </c>
      <c r="E83" s="40">
        <v>0.25</v>
      </c>
      <c r="F83" s="41"/>
      <c r="G83" s="41">
        <v>1</v>
      </c>
      <c r="H83" s="12">
        <f>QualData[[#This Row],[395nm Power Setting (%)]]*16</f>
        <v>4</v>
      </c>
      <c r="I83" s="12">
        <f>QualData[[#This Row],[365nm Power Setting (%)]]*8</f>
        <v>0</v>
      </c>
      <c r="J83" s="13">
        <f>QualData[[#This Row],[275nm Power (%)]]*3</f>
        <v>3</v>
      </c>
      <c r="K83">
        <v>60</v>
      </c>
      <c r="L83" s="26">
        <f>60*QualData[[#This Row],[395nm Irr. (W/cm2)]]/QualData[[#This Row],[Conveyor Speed (ft/min)]]</f>
        <v>4</v>
      </c>
      <c r="M83" s="26">
        <f>60*QualData[[#This Row],[365nm Irr. (W/cm2)]]/QualData[[#This Row],[Conveyor Speed (ft/min)]]</f>
        <v>0</v>
      </c>
      <c r="N83" s="26">
        <f>60*QualData[[#This Row],[275nm Irr. (W/cm2)]]/QualData[[#This Row],[Conveyor Speed (ft/min)]]</f>
        <v>3</v>
      </c>
      <c r="O83" s="26">
        <f>SUM(QualData[[#This Row],[395nm Normalized Dose]:[275nm Normalized Dose]])</f>
        <v>7</v>
      </c>
      <c r="P83" s="26" t="str">
        <f>IF(QualData[[#This Row],[395nm Normalized Dose]],"395nm",IF(QualData[[#This Row],[365nm Normalized Dose]],"365nm",""))</f>
        <v>395nm</v>
      </c>
      <c r="Q83">
        <v>0.375</v>
      </c>
      <c r="R83" s="28">
        <v>115</v>
      </c>
      <c r="S83" s="28">
        <v>116</v>
      </c>
      <c r="T83" s="28"/>
      <c r="U83" s="28">
        <f>IF(ISNUMBER(INDEX(Table7[Tape],MATCH(QualData[[#This Row],[Trial 1]],Table7[Can],0))),INDEX(Table7[Tape],MATCH(QualData[[#This Row],[Trial 1]],Table7[Can],0)),"")</f>
        <v>1</v>
      </c>
      <c r="V83" s="28">
        <f>IF(ISNUMBER(INDEX(Table7[Tape],MATCH(QualData[[#This Row],[Trial 2]],Table7[Can],0))),INDEX(Table7[Tape],MATCH(QualData[[#This Row],[Trial 2]],Table7[Can],0)),"")</f>
        <v>2</v>
      </c>
      <c r="W83" s="28" t="str">
        <f>IF(ISNUMBER(INDEX(Table7[Tape],MATCH(QualData[[#This Row],[Trial 3]],Table7[Can],0))),INDEX(Table7[Tape],MATCH(QualData[[#This Row],[Trial 3]],Table7[Can],0)),"")</f>
        <v/>
      </c>
      <c r="X83" s="28">
        <f>IF(ISNUMBER(INDEX(Table7[Scratch],MATCH(QualData[[#This Row],[Trial 1]],Table7[Can],0))),INDEX(Table7[Scratch],MATCH(QualData[[#This Row],[Trial 1]],Table7[Can],0)),"")</f>
        <v>4</v>
      </c>
      <c r="Y83" s="28">
        <f>IF(ISNUMBER(INDEX(Table7[Scratch],MATCH(QualData[[#This Row],[Trial 2]],Table7[Can],0))),INDEX(Table7[Scratch],MATCH(QualData[[#This Row],[Trial 2]],Table7[Can],0)),"")</f>
        <v>4</v>
      </c>
      <c r="Z83" s="28" t="str">
        <f>IF(ISNUMBER(INDEX(Table7[Scratch],MATCH(QualData[[#This Row],[Trial 3]],Table7[Can],0))),INDEX(Table7[Scratch],MATCH(QualData[[#This Row],[Trial 3]],Table7[Can],0)),"")</f>
        <v/>
      </c>
      <c r="AA83" s="54">
        <f>IFERROR(AVERAGE(QualData[[#This Row],[Trial 1 Tape Score]:[Trial 3 Tape Score]])/4,"")</f>
        <v>0.375</v>
      </c>
      <c r="AB83" s="54">
        <f>IFERROR(AVERAGE(QualData[[#This Row],[Trial 1 Scratch Score]:[Trial 3 Scratch Score]])/4,"")</f>
        <v>1</v>
      </c>
    </row>
    <row r="84" spans="3:28" x14ac:dyDescent="0.25">
      <c r="C84" s="36"/>
      <c r="D84" s="36"/>
      <c r="E84" s="40">
        <v>0</v>
      </c>
      <c r="F84" s="40">
        <v>0</v>
      </c>
      <c r="G84" s="40">
        <v>0</v>
      </c>
      <c r="H84" s="23">
        <f>QualData[[#This Row],[395nm Power Setting (%)]]*16</f>
        <v>0</v>
      </c>
      <c r="I84" s="23">
        <f>QualData[[#This Row],[365nm Power Setting (%)]]*8</f>
        <v>0</v>
      </c>
      <c r="J84" s="24">
        <f>QualData[[#This Row],[275nm Power (%)]]*3</f>
        <v>0</v>
      </c>
      <c r="K84" s="22">
        <v>1</v>
      </c>
      <c r="L84" s="27">
        <f>60*QualData[[#This Row],[395nm Irr. (W/cm2)]]/QualData[[#This Row],[Conveyor Speed (ft/min)]]</f>
        <v>0</v>
      </c>
      <c r="M84" s="27">
        <f>60*QualData[[#This Row],[365nm Irr. (W/cm2)]]/QualData[[#This Row],[Conveyor Speed (ft/min)]]</f>
        <v>0</v>
      </c>
      <c r="N84" s="42">
        <f>60*QualData[[#This Row],[275nm Irr. (W/cm2)]]/QualData[[#This Row],[Conveyor Speed (ft/min)]]</f>
        <v>0</v>
      </c>
      <c r="O84" s="42">
        <f>SUM(QualData[[#This Row],[395nm Normalized Dose]:[275nm Normalized Dose]])</f>
        <v>0</v>
      </c>
      <c r="P84" s="42" t="str">
        <f>IF(QualData[[#This Row],[395nm Normalized Dose]],"395nm",IF(QualData[[#This Row],[365nm Normalized Dose]],"365nm",""))</f>
        <v/>
      </c>
      <c r="Q84" s="22"/>
      <c r="R84" s="28"/>
      <c r="S84" s="28"/>
      <c r="T84" s="28"/>
      <c r="U84" s="28"/>
      <c r="V84" s="28"/>
      <c r="W84" s="28" t="str">
        <f>IF(ISNUMBER(INDEX(Table7[Tape],MATCH(QualData[[#This Row],[Trial 3]],Table7[Can],0))),INDEX(Table7[Tape],MATCH(QualData[[#This Row],[Trial 3]],Table7[Can],0)),"")</f>
        <v/>
      </c>
      <c r="X84" s="28"/>
      <c r="Y84" s="28"/>
      <c r="Z84" s="28" t="str">
        <f>IF(ISNUMBER(INDEX(Table7[Scratch],MATCH(QualData[[#This Row],[Trial 3]],Table7[Can],0))),INDEX(Table7[Scratch],MATCH(QualData[[#This Row],[Trial 3]],Table7[Can],0)),"")</f>
        <v/>
      </c>
      <c r="AA84" s="54" t="str">
        <f>IFERROR(AVERAGE(QualData[[#This Row],[Trial 1 Tape Score]:[Trial 3 Tape Score]])/4,"")</f>
        <v/>
      </c>
      <c r="AB84" s="54" t="str">
        <f>IFERROR(AVERAGE(QualData[[#This Row],[Trial 1 Scratch Score]:[Trial 3 Scratch Score]])/4,"")</f>
        <v/>
      </c>
    </row>
  </sheetData>
  <phoneticPr fontId="5" type="noConversion"/>
  <conditionalFormatting sqref="R26:T34 R40:T41 R35:R39 S35:S37 T35:T39 R67:U74 U26:U41">
    <cfRule type="containsText" dxfId="89" priority="13" operator="containsText" text="F">
      <formula>NOT(ISERROR(SEARCH("F",R26)))</formula>
    </cfRule>
    <cfRule type="containsText" dxfId="88" priority="14" operator="containsText" text="Q">
      <formula>NOT(ISERROR(SEARCH("Q",R26)))</formula>
    </cfRule>
    <cfRule type="containsText" dxfId="87" priority="15" operator="containsText" text="P">
      <formula>NOT(ISERROR(SEARCH("P",R26)))</formula>
    </cfRule>
  </conditionalFormatting>
  <conditionalFormatting sqref="M26:M84">
    <cfRule type="colorScale" priority="12">
      <colorScale>
        <cfvo type="num" val="0"/>
        <cfvo type="num" val="8"/>
        <color theme="0"/>
        <color rgb="FF7030A0"/>
      </colorScale>
    </cfRule>
  </conditionalFormatting>
  <conditionalFormatting sqref="N26:P84">
    <cfRule type="colorScale" priority="11">
      <colorScale>
        <cfvo type="num" val="0"/>
        <cfvo type="num" val="6"/>
        <color theme="0"/>
        <color rgb="FF7030A0"/>
      </colorScale>
    </cfRule>
  </conditionalFormatting>
  <conditionalFormatting sqref="U26:Z84">
    <cfRule type="colorScale" priority="10">
      <colorScale>
        <cfvo type="num" val="0"/>
        <cfvo type="num" val="2"/>
        <cfvo type="num" val="4"/>
        <color rgb="FFF8696B"/>
        <color rgb="FFFFEB84"/>
        <color rgb="FF63BE7B"/>
      </colorScale>
    </cfRule>
  </conditionalFormatting>
  <conditionalFormatting sqref="L26:L84">
    <cfRule type="colorScale" priority="9">
      <colorScale>
        <cfvo type="num" val="0"/>
        <cfvo type="num" val="8"/>
        <color rgb="FFFCFCFF"/>
        <color rgb="FF7030A0"/>
      </colorScale>
    </cfRule>
  </conditionalFormatting>
  <conditionalFormatting sqref="AA26:AB84">
    <cfRule type="colorScale" priority="136">
      <colorScale>
        <cfvo type="percent" val="0"/>
        <cfvo type="percent" val="50"/>
        <cfvo type="percent" val="10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verticalDpi="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BB647-2A03-4C23-8949-74675EDEE4AE}">
  <sheetPr codeName="Sheet3"/>
  <dimension ref="A1:AA143"/>
  <sheetViews>
    <sheetView tabSelected="1" topLeftCell="A100" workbookViewId="0">
      <selection activeCell="P122" sqref="P122"/>
    </sheetView>
  </sheetViews>
  <sheetFormatPr defaultRowHeight="15" x14ac:dyDescent="0.25"/>
  <cols>
    <col min="1" max="18" width="10.7109375" customWidth="1"/>
  </cols>
  <sheetData>
    <row r="1" spans="1:18" x14ac:dyDescent="0.25">
      <c r="B1" s="33" t="s">
        <v>18</v>
      </c>
      <c r="C1" s="13" t="s">
        <v>67</v>
      </c>
      <c r="L1" s="33" t="s">
        <v>18</v>
      </c>
      <c r="M1" s="13" t="s">
        <v>67</v>
      </c>
    </row>
    <row r="2" spans="1:18" x14ac:dyDescent="0.25">
      <c r="B2" s="33" t="s">
        <v>38</v>
      </c>
      <c r="C2" s="13" t="s">
        <v>67</v>
      </c>
      <c r="D2" s="39"/>
      <c r="E2" s="39"/>
      <c r="F2" s="39"/>
      <c r="L2" s="33" t="s">
        <v>38</v>
      </c>
      <c r="M2" s="13" t="s">
        <v>67</v>
      </c>
      <c r="N2" s="39"/>
      <c r="O2" s="39"/>
      <c r="P2" s="39"/>
    </row>
    <row r="4" spans="1:18" ht="45" x14ac:dyDescent="0.25">
      <c r="B4" s="35" t="s">
        <v>85</v>
      </c>
      <c r="C4" s="13"/>
      <c r="D4" s="13"/>
      <c r="E4" s="13"/>
      <c r="F4" s="13"/>
      <c r="G4" s="13"/>
      <c r="H4" s="13"/>
      <c r="L4" s="35" t="s">
        <v>86</v>
      </c>
      <c r="M4" s="13"/>
      <c r="N4" s="13"/>
      <c r="O4" s="13"/>
      <c r="P4" s="13"/>
      <c r="Q4" s="13"/>
      <c r="R4" s="13"/>
    </row>
    <row r="5" spans="1:18" x14ac:dyDescent="0.25">
      <c r="A5" s="38"/>
      <c r="B5" s="13"/>
      <c r="C5" s="13">
        <v>0</v>
      </c>
      <c r="D5" s="13">
        <v>1.5</v>
      </c>
      <c r="E5" s="13">
        <v>3</v>
      </c>
      <c r="F5" s="13">
        <v>4.5</v>
      </c>
      <c r="G5" s="13">
        <v>6</v>
      </c>
      <c r="H5" s="13" t="s">
        <v>99</v>
      </c>
      <c r="K5" s="38"/>
      <c r="L5" s="13"/>
      <c r="M5" s="13">
        <v>0</v>
      </c>
      <c r="N5" s="13">
        <v>1.5</v>
      </c>
      <c r="O5" s="13">
        <v>3</v>
      </c>
      <c r="P5" s="13">
        <v>4.5</v>
      </c>
      <c r="Q5" s="13">
        <v>6</v>
      </c>
      <c r="R5" s="13" t="s">
        <v>99</v>
      </c>
    </row>
    <row r="6" spans="1:18" x14ac:dyDescent="0.25">
      <c r="A6" s="74" t="s">
        <v>105</v>
      </c>
      <c r="B6" s="34">
        <v>16</v>
      </c>
      <c r="C6" s="5">
        <v>0.25</v>
      </c>
      <c r="D6" s="5">
        <v>0.375</v>
      </c>
      <c r="E6" s="5">
        <v>0.75</v>
      </c>
      <c r="F6" s="5">
        <v>0.875</v>
      </c>
      <c r="G6" s="5">
        <v>0.875</v>
      </c>
      <c r="H6" s="5">
        <v>0.5625</v>
      </c>
      <c r="K6" s="74" t="s">
        <v>105</v>
      </c>
      <c r="L6" s="34">
        <v>16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</row>
    <row r="7" spans="1:18" x14ac:dyDescent="0.25">
      <c r="A7" s="74"/>
      <c r="B7" s="34">
        <v>8</v>
      </c>
      <c r="C7" s="5">
        <v>0.125</v>
      </c>
      <c r="D7" s="5">
        <v>0.25</v>
      </c>
      <c r="E7" s="5">
        <v>0.5</v>
      </c>
      <c r="F7" s="5">
        <v>0.75</v>
      </c>
      <c r="G7" s="5">
        <v>0.625</v>
      </c>
      <c r="H7" s="5">
        <v>0.39583333333333331</v>
      </c>
      <c r="K7" s="74"/>
      <c r="L7" s="34">
        <v>8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</row>
    <row r="8" spans="1:18" x14ac:dyDescent="0.25">
      <c r="A8" s="74"/>
      <c r="B8" s="34">
        <v>4</v>
      </c>
      <c r="C8" s="5">
        <v>9.375E-2</v>
      </c>
      <c r="D8" s="5">
        <v>0.45833333333333337</v>
      </c>
      <c r="E8" s="5">
        <v>0.6875</v>
      </c>
      <c r="F8" s="5">
        <v>0.75</v>
      </c>
      <c r="G8" s="5">
        <v>0.875</v>
      </c>
      <c r="H8" s="5">
        <v>0.51302083333333337</v>
      </c>
      <c r="K8" s="74"/>
      <c r="L8" s="34">
        <v>4</v>
      </c>
      <c r="M8" s="5">
        <v>1</v>
      </c>
      <c r="N8" s="5">
        <v>0.91666666666666674</v>
      </c>
      <c r="O8" s="5">
        <v>1</v>
      </c>
      <c r="P8" s="5">
        <v>1</v>
      </c>
      <c r="Q8" s="5">
        <v>1</v>
      </c>
      <c r="R8" s="5">
        <v>0.97916666666666674</v>
      </c>
    </row>
    <row r="9" spans="1:18" x14ac:dyDescent="0.25">
      <c r="A9" s="74"/>
      <c r="B9" s="34">
        <v>2</v>
      </c>
      <c r="C9" s="5">
        <v>3.125E-2</v>
      </c>
      <c r="D9" s="5">
        <v>0.4375</v>
      </c>
      <c r="E9" s="5">
        <v>0.70833333333333337</v>
      </c>
      <c r="F9" s="5">
        <v>0.625</v>
      </c>
      <c r="G9" s="5">
        <v>0.75</v>
      </c>
      <c r="H9" s="5">
        <v>0.49305555555555558</v>
      </c>
      <c r="K9" s="74"/>
      <c r="L9" s="34">
        <v>2</v>
      </c>
      <c r="M9" s="5">
        <v>1</v>
      </c>
      <c r="N9" s="5">
        <v>1</v>
      </c>
      <c r="O9" s="5">
        <v>0.91666666666666663</v>
      </c>
      <c r="P9" s="5">
        <v>1</v>
      </c>
      <c r="Q9" s="5">
        <v>1</v>
      </c>
      <c r="R9" s="5">
        <v>0.96875</v>
      </c>
    </row>
    <row r="10" spans="1:18" x14ac:dyDescent="0.25">
      <c r="A10" s="32"/>
      <c r="B10" s="34">
        <v>0.8</v>
      </c>
      <c r="C10" s="5">
        <v>0</v>
      </c>
      <c r="D10" s="5">
        <v>0.6875</v>
      </c>
      <c r="E10" s="5">
        <v>0.53125</v>
      </c>
      <c r="F10" s="5"/>
      <c r="G10" s="5"/>
      <c r="H10" s="5">
        <v>0.40625</v>
      </c>
      <c r="K10" s="32"/>
      <c r="L10" s="34">
        <v>0.8</v>
      </c>
      <c r="M10" s="5">
        <v>0</v>
      </c>
      <c r="N10" s="5">
        <v>0.6875</v>
      </c>
      <c r="O10" s="5">
        <v>0.5625</v>
      </c>
      <c r="P10" s="5"/>
      <c r="Q10" s="5"/>
      <c r="R10" s="5">
        <v>0.5</v>
      </c>
    </row>
    <row r="11" spans="1:18" x14ac:dyDescent="0.25">
      <c r="A11" s="32"/>
      <c r="B11" s="34">
        <v>0.4</v>
      </c>
      <c r="C11" s="5"/>
      <c r="D11" s="5">
        <v>0.25</v>
      </c>
      <c r="E11" s="5">
        <v>0.3125</v>
      </c>
      <c r="F11" s="5"/>
      <c r="G11" s="5"/>
      <c r="H11" s="5">
        <v>0.28125</v>
      </c>
      <c r="K11" s="32"/>
      <c r="L11" s="34">
        <v>0.4</v>
      </c>
      <c r="M11" s="5"/>
      <c r="N11" s="5">
        <v>0</v>
      </c>
      <c r="O11" s="5">
        <v>0.125</v>
      </c>
      <c r="P11" s="5"/>
      <c r="Q11" s="5"/>
      <c r="R11" s="5">
        <v>6.25E-2</v>
      </c>
    </row>
    <row r="12" spans="1:18" x14ac:dyDescent="0.25">
      <c r="A12" s="32"/>
      <c r="B12" s="34" t="s">
        <v>99</v>
      </c>
      <c r="C12" s="5">
        <v>0.1</v>
      </c>
      <c r="D12" s="5">
        <v>0.44907407407407413</v>
      </c>
      <c r="E12" s="5">
        <v>0.61250000000000004</v>
      </c>
      <c r="F12" s="5">
        <v>0.75</v>
      </c>
      <c r="G12" s="5">
        <v>0.78125</v>
      </c>
      <c r="H12" s="5">
        <v>0.4673423423423424</v>
      </c>
      <c r="K12" s="32"/>
      <c r="L12" s="34" t="s">
        <v>99</v>
      </c>
      <c r="M12" s="5">
        <v>0.875</v>
      </c>
      <c r="N12" s="5">
        <v>0.80092592592592604</v>
      </c>
      <c r="O12" s="5">
        <v>0.8</v>
      </c>
      <c r="P12" s="5">
        <v>1</v>
      </c>
      <c r="Q12" s="5">
        <v>1</v>
      </c>
      <c r="R12" s="5">
        <v>0.86309523809523814</v>
      </c>
    </row>
    <row r="13" spans="1:18" x14ac:dyDescent="0.25">
      <c r="A13" s="32"/>
      <c r="K13" s="32"/>
    </row>
    <row r="20" spans="1:18" x14ac:dyDescent="0.25">
      <c r="B20" s="33" t="s">
        <v>18</v>
      </c>
      <c r="C20" s="13" t="s">
        <v>67</v>
      </c>
      <c r="L20" s="33" t="s">
        <v>18</v>
      </c>
      <c r="M20" s="13" t="s">
        <v>67</v>
      </c>
    </row>
    <row r="21" spans="1:18" x14ac:dyDescent="0.25">
      <c r="B21" s="33" t="s">
        <v>89</v>
      </c>
      <c r="C21" s="13" t="s">
        <v>67</v>
      </c>
      <c r="D21" s="39"/>
      <c r="E21" s="39"/>
      <c r="F21" s="39"/>
      <c r="L21" s="33" t="s">
        <v>89</v>
      </c>
      <c r="M21" s="13" t="s">
        <v>67</v>
      </c>
      <c r="N21" s="39"/>
      <c r="O21" s="39"/>
      <c r="P21" s="39"/>
    </row>
    <row r="23" spans="1:18" ht="45" x14ac:dyDescent="0.25">
      <c r="B23" s="35" t="s">
        <v>85</v>
      </c>
      <c r="C23" s="13"/>
      <c r="D23" s="13"/>
      <c r="E23" s="13"/>
      <c r="F23" s="13"/>
      <c r="G23" s="13"/>
      <c r="H23" s="13"/>
      <c r="L23" s="35" t="s">
        <v>86</v>
      </c>
      <c r="M23" s="13"/>
      <c r="N23" s="13"/>
      <c r="O23" s="13"/>
      <c r="P23" s="13"/>
      <c r="Q23" s="13"/>
      <c r="R23" s="13"/>
    </row>
    <row r="24" spans="1:18" x14ac:dyDescent="0.25">
      <c r="B24" s="13"/>
      <c r="C24" s="13">
        <v>0</v>
      </c>
      <c r="D24" s="13">
        <v>1.5</v>
      </c>
      <c r="E24" s="13">
        <v>3</v>
      </c>
      <c r="F24" s="13">
        <v>4.5</v>
      </c>
      <c r="G24" s="13">
        <v>6</v>
      </c>
      <c r="H24" s="13" t="s">
        <v>99</v>
      </c>
      <c r="L24" s="13"/>
      <c r="M24" s="13">
        <v>0</v>
      </c>
      <c r="N24" s="13">
        <v>1.5</v>
      </c>
      <c r="O24" s="13">
        <v>3</v>
      </c>
      <c r="P24" s="13">
        <v>4.5</v>
      </c>
      <c r="Q24" s="13">
        <v>6</v>
      </c>
      <c r="R24" s="13" t="s">
        <v>99</v>
      </c>
    </row>
    <row r="25" spans="1:18" x14ac:dyDescent="0.25">
      <c r="A25" s="74" t="s">
        <v>106</v>
      </c>
      <c r="B25" s="34">
        <v>32</v>
      </c>
      <c r="C25" s="5">
        <v>0.375</v>
      </c>
      <c r="D25" s="5">
        <v>0.25</v>
      </c>
      <c r="E25" s="5">
        <v>0.5</v>
      </c>
      <c r="F25" s="5">
        <v>0.375</v>
      </c>
      <c r="G25" s="5">
        <v>0.75</v>
      </c>
      <c r="H25" s="5">
        <v>0.45</v>
      </c>
      <c r="K25" s="74" t="s">
        <v>106</v>
      </c>
      <c r="L25" s="34">
        <v>32</v>
      </c>
      <c r="M25" s="5">
        <v>0.75</v>
      </c>
      <c r="N25" s="5">
        <v>1</v>
      </c>
      <c r="O25" s="5">
        <v>1</v>
      </c>
      <c r="P25" s="5">
        <v>1</v>
      </c>
      <c r="Q25" s="5">
        <v>1</v>
      </c>
      <c r="R25" s="5">
        <v>0.95</v>
      </c>
    </row>
    <row r="26" spans="1:18" x14ac:dyDescent="0.25">
      <c r="A26" s="74"/>
      <c r="B26" s="34">
        <v>16</v>
      </c>
      <c r="C26" s="5">
        <v>0</v>
      </c>
      <c r="D26" s="5">
        <v>0.25</v>
      </c>
      <c r="E26" s="5">
        <v>0.5</v>
      </c>
      <c r="F26" s="5">
        <v>0.5</v>
      </c>
      <c r="G26" s="5">
        <v>0.625</v>
      </c>
      <c r="H26" s="5">
        <v>0.375</v>
      </c>
      <c r="K26" s="74"/>
      <c r="L26" s="34">
        <v>16</v>
      </c>
      <c r="M26" s="5">
        <v>1</v>
      </c>
      <c r="N26" s="5">
        <v>0.75</v>
      </c>
      <c r="O26" s="5">
        <v>1</v>
      </c>
      <c r="P26" s="5">
        <v>1</v>
      </c>
      <c r="Q26" s="5">
        <v>1</v>
      </c>
      <c r="R26" s="5">
        <v>0.95</v>
      </c>
    </row>
    <row r="27" spans="1:18" x14ac:dyDescent="0.25">
      <c r="A27" s="74"/>
      <c r="B27" s="34">
        <v>8</v>
      </c>
      <c r="C27" s="5">
        <v>0</v>
      </c>
      <c r="D27" s="5">
        <v>0.25</v>
      </c>
      <c r="E27" s="5">
        <v>0.375</v>
      </c>
      <c r="F27" s="5">
        <v>0.5</v>
      </c>
      <c r="G27" s="5">
        <v>0.625</v>
      </c>
      <c r="H27" s="5">
        <v>0.35</v>
      </c>
      <c r="K27" s="74"/>
      <c r="L27" s="34">
        <v>8</v>
      </c>
      <c r="M27" s="5">
        <v>0.75</v>
      </c>
      <c r="N27" s="5">
        <v>1</v>
      </c>
      <c r="O27" s="5">
        <v>1</v>
      </c>
      <c r="P27" s="5">
        <v>1</v>
      </c>
      <c r="Q27" s="5">
        <v>1</v>
      </c>
      <c r="R27" s="5">
        <v>0.95</v>
      </c>
    </row>
    <row r="28" spans="1:18" x14ac:dyDescent="0.25">
      <c r="A28" s="74"/>
      <c r="B28" s="34">
        <v>4</v>
      </c>
      <c r="C28" s="5">
        <v>0</v>
      </c>
      <c r="D28" s="5">
        <v>0.375</v>
      </c>
      <c r="E28" s="5">
        <v>0.375</v>
      </c>
      <c r="F28" s="5"/>
      <c r="G28" s="5"/>
      <c r="H28" s="5">
        <v>0.25</v>
      </c>
      <c r="K28" s="74"/>
      <c r="L28" s="34">
        <v>4</v>
      </c>
      <c r="M28" s="5">
        <v>0</v>
      </c>
      <c r="N28" s="5">
        <v>0.625</v>
      </c>
      <c r="O28" s="5">
        <v>1</v>
      </c>
      <c r="P28" s="5"/>
      <c r="Q28" s="5"/>
      <c r="R28" s="5">
        <v>0.54166666666666663</v>
      </c>
    </row>
    <row r="29" spans="1:18" x14ac:dyDescent="0.25">
      <c r="A29" s="32"/>
      <c r="B29" s="34" t="s">
        <v>99</v>
      </c>
      <c r="C29" s="5">
        <v>9.375E-2</v>
      </c>
      <c r="D29" s="5">
        <v>0.28125</v>
      </c>
      <c r="E29" s="5">
        <v>0.4375</v>
      </c>
      <c r="F29" s="5">
        <v>0.45833333333333331</v>
      </c>
      <c r="G29" s="5">
        <v>0.66666666666666663</v>
      </c>
      <c r="H29" s="5">
        <v>0.36805555555555558</v>
      </c>
      <c r="K29" s="32"/>
      <c r="L29" s="34" t="s">
        <v>99</v>
      </c>
      <c r="M29" s="5">
        <v>0.625</v>
      </c>
      <c r="N29" s="5">
        <v>0.84375</v>
      </c>
      <c r="O29" s="5">
        <v>1</v>
      </c>
      <c r="P29" s="5">
        <v>1</v>
      </c>
      <c r="Q29" s="5">
        <v>1</v>
      </c>
      <c r="R29" s="5">
        <v>0.88194444444444442</v>
      </c>
    </row>
    <row r="30" spans="1:18" x14ac:dyDescent="0.25">
      <c r="A30" s="32"/>
      <c r="K30" s="32"/>
    </row>
    <row r="31" spans="1:18" x14ac:dyDescent="0.25">
      <c r="A31" s="32"/>
      <c r="K31" s="32"/>
    </row>
    <row r="32" spans="1:18" x14ac:dyDescent="0.25">
      <c r="A32" s="32"/>
      <c r="K32" s="32"/>
    </row>
    <row r="36" spans="2:27" x14ac:dyDescent="0.25">
      <c r="B36" s="33" t="s">
        <v>18</v>
      </c>
      <c r="C36" s="13" t="s">
        <v>67</v>
      </c>
      <c r="I36" s="33" t="s">
        <v>18</v>
      </c>
      <c r="J36" s="13" t="s">
        <v>67</v>
      </c>
      <c r="P36" s="33" t="s">
        <v>18</v>
      </c>
      <c r="Q36" s="13" t="s">
        <v>67</v>
      </c>
      <c r="W36" s="33" t="s">
        <v>18</v>
      </c>
      <c r="X36" s="13" t="s">
        <v>67</v>
      </c>
    </row>
    <row r="37" spans="2:27" x14ac:dyDescent="0.25">
      <c r="B37" s="33" t="s">
        <v>38</v>
      </c>
      <c r="C37" s="13" t="s">
        <v>117</v>
      </c>
      <c r="I37" s="33" t="s">
        <v>38</v>
      </c>
      <c r="J37" s="13" t="s">
        <v>117</v>
      </c>
      <c r="P37" s="33" t="s">
        <v>38</v>
      </c>
      <c r="Q37" s="13" t="s">
        <v>117</v>
      </c>
      <c r="W37" s="33" t="s">
        <v>38</v>
      </c>
      <c r="X37" s="13" t="s">
        <v>117</v>
      </c>
    </row>
    <row r="38" spans="2:27" x14ac:dyDescent="0.25">
      <c r="B38" s="33" t="s">
        <v>89</v>
      </c>
      <c r="C38" s="13" t="s">
        <v>117</v>
      </c>
      <c r="D38" s="39"/>
      <c r="E38" s="39"/>
      <c r="F38" s="39"/>
      <c r="I38" s="33" t="s">
        <v>89</v>
      </c>
      <c r="J38" s="13" t="s">
        <v>117</v>
      </c>
      <c r="K38" s="39"/>
      <c r="L38" s="39"/>
      <c r="M38" s="39"/>
      <c r="P38" s="33" t="s">
        <v>89</v>
      </c>
      <c r="Q38" s="13" t="s">
        <v>117</v>
      </c>
      <c r="R38" s="39"/>
      <c r="S38" s="39"/>
      <c r="T38" s="39"/>
      <c r="W38" s="33" t="s">
        <v>89</v>
      </c>
      <c r="X38" s="13" t="s">
        <v>117</v>
      </c>
      <c r="Y38" s="39"/>
      <c r="Z38" s="39"/>
      <c r="AA38" s="39"/>
    </row>
    <row r="40" spans="2:27" x14ac:dyDescent="0.25">
      <c r="B40" s="13"/>
      <c r="C40" s="13"/>
      <c r="D40" s="13"/>
      <c r="E40" s="13" t="s">
        <v>85</v>
      </c>
      <c r="I40" s="13"/>
      <c r="J40" s="13"/>
      <c r="K40" s="13" t="s">
        <v>85</v>
      </c>
      <c r="P40" s="13"/>
      <c r="Q40" s="13"/>
      <c r="R40" s="13" t="s">
        <v>85</v>
      </c>
      <c r="W40" s="13"/>
      <c r="X40" s="13"/>
      <c r="Y40" s="13" t="s">
        <v>85</v>
      </c>
    </row>
    <row r="41" spans="2:27" x14ac:dyDescent="0.25">
      <c r="B41" s="13" t="s">
        <v>119</v>
      </c>
      <c r="C41" s="13">
        <v>0.8</v>
      </c>
      <c r="D41" s="13">
        <v>0</v>
      </c>
      <c r="E41" s="5">
        <v>0</v>
      </c>
      <c r="I41" s="13" t="s">
        <v>119</v>
      </c>
      <c r="J41" s="13">
        <v>0</v>
      </c>
      <c r="K41" s="5">
        <v>9.0909090909090912E-2</v>
      </c>
      <c r="P41" s="13" t="s">
        <v>119</v>
      </c>
      <c r="Q41" s="13">
        <v>16</v>
      </c>
      <c r="R41" s="5">
        <v>0.5625</v>
      </c>
      <c r="W41" s="13" t="s">
        <v>119</v>
      </c>
      <c r="X41" s="13">
        <v>0</v>
      </c>
      <c r="Y41" s="5">
        <v>0.45504385964912286</v>
      </c>
    </row>
    <row r="42" spans="2:27" x14ac:dyDescent="0.25">
      <c r="B42" s="13" t="s">
        <v>119</v>
      </c>
      <c r="C42" s="13">
        <v>1.6</v>
      </c>
      <c r="D42" s="13">
        <v>0</v>
      </c>
      <c r="E42" s="5">
        <v>0</v>
      </c>
      <c r="I42" s="13" t="s">
        <v>119</v>
      </c>
      <c r="J42" s="13">
        <v>1.5</v>
      </c>
      <c r="K42" s="5">
        <v>0.44907407407407401</v>
      </c>
      <c r="P42" s="13" t="s">
        <v>119</v>
      </c>
      <c r="Q42" s="13">
        <v>8</v>
      </c>
      <c r="R42" s="5">
        <v>0.39583333333333331</v>
      </c>
      <c r="W42" s="13" t="s">
        <v>120</v>
      </c>
      <c r="X42" s="13">
        <v>32</v>
      </c>
      <c r="Y42" s="5">
        <v>0.45</v>
      </c>
    </row>
    <row r="43" spans="2:27" x14ac:dyDescent="0.25">
      <c r="B43" s="13" t="s">
        <v>119</v>
      </c>
      <c r="C43" s="13">
        <v>1.9</v>
      </c>
      <c r="D43" s="13">
        <v>1.5</v>
      </c>
      <c r="E43" s="5">
        <v>0.25</v>
      </c>
      <c r="I43" s="13" t="s">
        <v>119</v>
      </c>
      <c r="J43" s="13">
        <v>3</v>
      </c>
      <c r="K43" s="5">
        <v>0.61250000000000004</v>
      </c>
      <c r="P43" s="13" t="s">
        <v>119</v>
      </c>
      <c r="Q43" s="13">
        <v>4</v>
      </c>
      <c r="R43" s="5">
        <v>0.51302083333333337</v>
      </c>
      <c r="W43" s="13" t="s">
        <v>120</v>
      </c>
      <c r="X43" s="13">
        <v>16</v>
      </c>
      <c r="Y43" s="5">
        <v>0.375</v>
      </c>
    </row>
    <row r="44" spans="2:27" x14ac:dyDescent="0.25">
      <c r="B44" s="13" t="s">
        <v>119</v>
      </c>
      <c r="C44" s="13">
        <v>2</v>
      </c>
      <c r="D44" s="13">
        <v>0</v>
      </c>
      <c r="E44" s="5">
        <v>3.125E-2</v>
      </c>
      <c r="I44" s="13" t="s">
        <v>119</v>
      </c>
      <c r="J44" s="13">
        <v>4.5</v>
      </c>
      <c r="K44" s="5">
        <v>0.75</v>
      </c>
      <c r="P44" s="13" t="s">
        <v>119</v>
      </c>
      <c r="Q44" s="13">
        <v>2</v>
      </c>
      <c r="R44" s="5">
        <v>0.49305555555555558</v>
      </c>
      <c r="W44" s="13" t="s">
        <v>120</v>
      </c>
      <c r="X44" s="13">
        <v>8</v>
      </c>
      <c r="Y44" s="5">
        <v>0.35</v>
      </c>
    </row>
    <row r="45" spans="2:27" x14ac:dyDescent="0.25">
      <c r="B45" s="13" t="s">
        <v>119</v>
      </c>
      <c r="C45" s="13">
        <v>2.2999999999999998</v>
      </c>
      <c r="D45" s="13">
        <v>1.5</v>
      </c>
      <c r="E45" s="5">
        <v>0.6875</v>
      </c>
      <c r="I45" s="13" t="s">
        <v>119</v>
      </c>
      <c r="J45" s="13">
        <v>6</v>
      </c>
      <c r="K45" s="5">
        <v>0.78125</v>
      </c>
      <c r="P45" s="13" t="s">
        <v>119</v>
      </c>
      <c r="Q45" s="13">
        <v>1.6</v>
      </c>
      <c r="R45" s="5">
        <v>0</v>
      </c>
      <c r="W45" s="13" t="s">
        <v>120</v>
      </c>
      <c r="X45" s="13">
        <v>4</v>
      </c>
      <c r="Y45" s="5">
        <v>0.25</v>
      </c>
    </row>
    <row r="46" spans="2:27" x14ac:dyDescent="0.25">
      <c r="B46" s="13" t="s">
        <v>119</v>
      </c>
      <c r="C46" s="13">
        <v>3.4</v>
      </c>
      <c r="D46" s="13">
        <v>3</v>
      </c>
      <c r="E46" s="5">
        <v>0.3125</v>
      </c>
      <c r="I46" s="13" t="s">
        <v>120</v>
      </c>
      <c r="J46" s="13">
        <v>0</v>
      </c>
      <c r="K46" s="5">
        <v>9.375E-2</v>
      </c>
      <c r="P46" s="13" t="s">
        <v>119</v>
      </c>
      <c r="Q46" s="13">
        <v>0.8</v>
      </c>
      <c r="R46" s="5">
        <v>0.40625</v>
      </c>
    </row>
    <row r="47" spans="2:27" x14ac:dyDescent="0.25">
      <c r="B47" s="13" t="s">
        <v>119</v>
      </c>
      <c r="C47" s="13">
        <v>3.5</v>
      </c>
      <c r="D47" s="13">
        <v>1.5</v>
      </c>
      <c r="E47" s="5">
        <v>0.4375</v>
      </c>
      <c r="I47" s="13" t="s">
        <v>120</v>
      </c>
      <c r="J47" s="13">
        <v>1.5</v>
      </c>
      <c r="K47" s="5">
        <v>0.28125</v>
      </c>
      <c r="P47" s="13" t="s">
        <v>119</v>
      </c>
      <c r="Q47" s="13">
        <v>0.4</v>
      </c>
      <c r="R47" s="5">
        <v>0.28125</v>
      </c>
    </row>
    <row r="48" spans="2:27" x14ac:dyDescent="0.25">
      <c r="B48" s="13" t="s">
        <v>119</v>
      </c>
      <c r="C48" s="13">
        <v>3.8</v>
      </c>
      <c r="D48" s="13">
        <v>3</v>
      </c>
      <c r="E48" s="5">
        <v>0.53125</v>
      </c>
      <c r="I48" s="13" t="s">
        <v>120</v>
      </c>
      <c r="J48" s="13">
        <v>3</v>
      </c>
      <c r="K48" s="5">
        <v>0.4375</v>
      </c>
      <c r="P48" s="13" t="s">
        <v>120</v>
      </c>
      <c r="Q48" s="13">
        <v>0</v>
      </c>
      <c r="R48" s="5">
        <v>0.36805555555555558</v>
      </c>
    </row>
    <row r="49" spans="2:11" x14ac:dyDescent="0.25">
      <c r="B49" s="13" t="s">
        <v>119</v>
      </c>
      <c r="C49" s="13">
        <v>4</v>
      </c>
      <c r="D49" s="13">
        <v>0</v>
      </c>
      <c r="E49" s="5">
        <v>9.375E-2</v>
      </c>
      <c r="I49" s="13" t="s">
        <v>120</v>
      </c>
      <c r="J49" s="13">
        <v>4.5</v>
      </c>
      <c r="K49" s="5">
        <v>0.45833333333333331</v>
      </c>
    </row>
    <row r="50" spans="2:11" x14ac:dyDescent="0.25">
      <c r="B50" s="13" t="s">
        <v>119</v>
      </c>
      <c r="C50" s="13">
        <v>5</v>
      </c>
      <c r="D50" s="13">
        <v>3</v>
      </c>
      <c r="E50" s="5">
        <v>0.70833333333333337</v>
      </c>
      <c r="I50" s="13" t="s">
        <v>120</v>
      </c>
      <c r="J50" s="13">
        <v>6</v>
      </c>
      <c r="K50" s="5">
        <v>0.66666666666666663</v>
      </c>
    </row>
    <row r="51" spans="2:11" x14ac:dyDescent="0.25">
      <c r="B51" s="13" t="s">
        <v>119</v>
      </c>
      <c r="C51" s="13">
        <v>5.5</v>
      </c>
      <c r="D51" s="13">
        <v>1.5</v>
      </c>
      <c r="E51" s="5">
        <v>0.45833333333333337</v>
      </c>
    </row>
    <row r="52" spans="2:11" x14ac:dyDescent="0.25">
      <c r="B52" s="13" t="s">
        <v>119</v>
      </c>
      <c r="C52" s="13">
        <v>6.5</v>
      </c>
      <c r="D52" s="13">
        <v>4.5</v>
      </c>
      <c r="E52" s="5">
        <v>0.625</v>
      </c>
    </row>
    <row r="53" spans="2:11" x14ac:dyDescent="0.25">
      <c r="B53" s="13" t="s">
        <v>119</v>
      </c>
      <c r="C53" s="13">
        <v>7</v>
      </c>
      <c r="D53" s="13">
        <v>3</v>
      </c>
      <c r="E53" s="5">
        <v>0.6875</v>
      </c>
    </row>
    <row r="54" spans="2:11" x14ac:dyDescent="0.25">
      <c r="B54" s="13" t="s">
        <v>119</v>
      </c>
      <c r="C54" s="13">
        <v>8</v>
      </c>
      <c r="D54" s="13">
        <v>0</v>
      </c>
      <c r="E54" s="5">
        <v>0.125</v>
      </c>
    </row>
    <row r="55" spans="2:11" x14ac:dyDescent="0.25">
      <c r="B55" s="13" t="s">
        <v>119</v>
      </c>
      <c r="C55" s="13">
        <v>8</v>
      </c>
      <c r="D55" s="13">
        <v>6</v>
      </c>
      <c r="E55" s="5">
        <v>0.75</v>
      </c>
    </row>
    <row r="56" spans="2:11" x14ac:dyDescent="0.25">
      <c r="B56" s="13" t="s">
        <v>119</v>
      </c>
      <c r="C56" s="13">
        <v>8.5</v>
      </c>
      <c r="D56" s="13">
        <v>4.5</v>
      </c>
      <c r="E56" s="5">
        <v>0.75</v>
      </c>
    </row>
    <row r="57" spans="2:11" x14ac:dyDescent="0.25">
      <c r="B57" s="13" t="s">
        <v>119</v>
      </c>
      <c r="C57" s="13">
        <v>9.5</v>
      </c>
      <c r="D57" s="13">
        <v>1.5</v>
      </c>
      <c r="E57" s="5">
        <v>0.25</v>
      </c>
    </row>
    <row r="58" spans="2:11" x14ac:dyDescent="0.25">
      <c r="B58" s="13" t="s">
        <v>119</v>
      </c>
      <c r="C58" s="13">
        <v>10</v>
      </c>
      <c r="D58" s="13">
        <v>6</v>
      </c>
      <c r="E58" s="5">
        <v>0.875</v>
      </c>
    </row>
    <row r="59" spans="2:11" x14ac:dyDescent="0.25">
      <c r="B59" s="13" t="s">
        <v>119</v>
      </c>
      <c r="C59" s="13">
        <v>11</v>
      </c>
      <c r="D59" s="13">
        <v>3</v>
      </c>
      <c r="E59" s="5">
        <v>0.5</v>
      </c>
    </row>
    <row r="60" spans="2:11" x14ac:dyDescent="0.25">
      <c r="B60" s="13" t="s">
        <v>119</v>
      </c>
      <c r="C60" s="13">
        <v>12.5</v>
      </c>
      <c r="D60" s="13">
        <v>4.5</v>
      </c>
      <c r="E60" s="5">
        <v>0.75</v>
      </c>
    </row>
    <row r="61" spans="2:11" x14ac:dyDescent="0.25">
      <c r="B61" s="13" t="s">
        <v>119</v>
      </c>
      <c r="C61" s="13">
        <v>14</v>
      </c>
      <c r="D61" s="13">
        <v>6</v>
      </c>
      <c r="E61" s="5">
        <v>0.625</v>
      </c>
    </row>
    <row r="62" spans="2:11" x14ac:dyDescent="0.25">
      <c r="B62" s="13" t="s">
        <v>119</v>
      </c>
      <c r="C62" s="13">
        <v>16</v>
      </c>
      <c r="D62" s="13">
        <v>0</v>
      </c>
      <c r="E62" s="5">
        <v>0.25</v>
      </c>
    </row>
    <row r="63" spans="2:11" x14ac:dyDescent="0.25">
      <c r="B63" s="13" t="s">
        <v>119</v>
      </c>
      <c r="C63" s="13">
        <v>17.5</v>
      </c>
      <c r="D63" s="13">
        <v>1.5</v>
      </c>
      <c r="E63" s="5">
        <v>0.375</v>
      </c>
    </row>
    <row r="64" spans="2:11" x14ac:dyDescent="0.25">
      <c r="B64" s="13" t="s">
        <v>119</v>
      </c>
      <c r="C64" s="13">
        <v>19</v>
      </c>
      <c r="D64" s="13">
        <v>3</v>
      </c>
      <c r="E64" s="5">
        <v>0.75</v>
      </c>
    </row>
    <row r="65" spans="2:5" x14ac:dyDescent="0.25">
      <c r="B65" s="13" t="s">
        <v>119</v>
      </c>
      <c r="C65" s="13">
        <v>20.5</v>
      </c>
      <c r="D65" s="13">
        <v>4.5</v>
      </c>
      <c r="E65" s="5">
        <v>0.875</v>
      </c>
    </row>
    <row r="66" spans="2:5" x14ac:dyDescent="0.25">
      <c r="B66" s="13" t="s">
        <v>119</v>
      </c>
      <c r="C66" s="13">
        <v>22</v>
      </c>
      <c r="D66" s="13">
        <v>6</v>
      </c>
      <c r="E66" s="5">
        <v>0.875</v>
      </c>
    </row>
    <row r="67" spans="2:5" x14ac:dyDescent="0.25">
      <c r="B67" s="13" t="s">
        <v>120</v>
      </c>
      <c r="C67" s="13">
        <v>4</v>
      </c>
      <c r="D67" s="13">
        <v>0</v>
      </c>
      <c r="E67" s="5">
        <v>0</v>
      </c>
    </row>
    <row r="68" spans="2:5" x14ac:dyDescent="0.25">
      <c r="B68" s="13" t="s">
        <v>120</v>
      </c>
      <c r="C68" s="13">
        <v>5.5</v>
      </c>
      <c r="D68" s="13">
        <v>1.5</v>
      </c>
      <c r="E68" s="5">
        <v>0.375</v>
      </c>
    </row>
    <row r="69" spans="2:5" x14ac:dyDescent="0.25">
      <c r="B69" s="13" t="s">
        <v>120</v>
      </c>
      <c r="C69" s="13">
        <v>7</v>
      </c>
      <c r="D69" s="13">
        <v>3</v>
      </c>
      <c r="E69" s="5">
        <v>0.375</v>
      </c>
    </row>
    <row r="70" spans="2:5" x14ac:dyDescent="0.25">
      <c r="B70" s="13" t="s">
        <v>120</v>
      </c>
      <c r="C70" s="13">
        <v>8</v>
      </c>
      <c r="D70" s="13">
        <v>0</v>
      </c>
      <c r="E70" s="5">
        <v>0</v>
      </c>
    </row>
    <row r="71" spans="2:5" x14ac:dyDescent="0.25">
      <c r="B71" s="13" t="s">
        <v>120</v>
      </c>
      <c r="C71" s="13">
        <v>9.5</v>
      </c>
      <c r="D71" s="13">
        <v>1.5</v>
      </c>
      <c r="E71" s="5">
        <v>0.25</v>
      </c>
    </row>
    <row r="72" spans="2:5" x14ac:dyDescent="0.25">
      <c r="B72" s="13" t="s">
        <v>120</v>
      </c>
      <c r="C72" s="13">
        <v>11</v>
      </c>
      <c r="D72" s="13">
        <v>3</v>
      </c>
      <c r="E72" s="5">
        <v>0.375</v>
      </c>
    </row>
    <row r="73" spans="2:5" x14ac:dyDescent="0.25">
      <c r="B73" s="13" t="s">
        <v>120</v>
      </c>
      <c r="C73" s="13">
        <v>12.5</v>
      </c>
      <c r="D73" s="13">
        <v>4.5</v>
      </c>
      <c r="E73" s="5">
        <v>0.5</v>
      </c>
    </row>
    <row r="74" spans="2:5" x14ac:dyDescent="0.25">
      <c r="B74" s="13" t="s">
        <v>120</v>
      </c>
      <c r="C74" s="13">
        <v>14</v>
      </c>
      <c r="D74" s="13">
        <v>6</v>
      </c>
      <c r="E74" s="5">
        <v>0.625</v>
      </c>
    </row>
    <row r="75" spans="2:5" x14ac:dyDescent="0.25">
      <c r="B75" s="13" t="s">
        <v>120</v>
      </c>
      <c r="C75" s="13">
        <v>16</v>
      </c>
      <c r="D75" s="13">
        <v>0</v>
      </c>
      <c r="E75" s="5">
        <v>0</v>
      </c>
    </row>
    <row r="76" spans="2:5" x14ac:dyDescent="0.25">
      <c r="B76" s="13" t="s">
        <v>120</v>
      </c>
      <c r="C76" s="13">
        <v>17.5</v>
      </c>
      <c r="D76" s="13">
        <v>1.5</v>
      </c>
      <c r="E76" s="5">
        <v>0.25</v>
      </c>
    </row>
    <row r="77" spans="2:5" x14ac:dyDescent="0.25">
      <c r="B77" s="13" t="s">
        <v>120</v>
      </c>
      <c r="C77" s="13">
        <v>19</v>
      </c>
      <c r="D77" s="13">
        <v>3</v>
      </c>
      <c r="E77" s="5">
        <v>0.5</v>
      </c>
    </row>
    <row r="78" spans="2:5" x14ac:dyDescent="0.25">
      <c r="B78" s="13" t="s">
        <v>120</v>
      </c>
      <c r="C78" s="13">
        <v>20.5</v>
      </c>
      <c r="D78" s="13">
        <v>4.5</v>
      </c>
      <c r="E78" s="5">
        <v>0.5</v>
      </c>
    </row>
    <row r="79" spans="2:5" x14ac:dyDescent="0.25">
      <c r="B79" s="13" t="s">
        <v>120</v>
      </c>
      <c r="C79" s="13">
        <v>22</v>
      </c>
      <c r="D79" s="13">
        <v>6</v>
      </c>
      <c r="E79" s="5">
        <v>0.625</v>
      </c>
    </row>
    <row r="80" spans="2:5" x14ac:dyDescent="0.25">
      <c r="B80" s="13" t="s">
        <v>120</v>
      </c>
      <c r="C80" s="13">
        <v>32</v>
      </c>
      <c r="D80" s="13">
        <v>0</v>
      </c>
      <c r="E80" s="5">
        <v>0.375</v>
      </c>
    </row>
    <row r="81" spans="2:5" x14ac:dyDescent="0.25">
      <c r="B81" s="13" t="s">
        <v>120</v>
      </c>
      <c r="C81" s="13">
        <v>33.5</v>
      </c>
      <c r="D81" s="13">
        <v>1.5</v>
      </c>
      <c r="E81" s="5">
        <v>0.25</v>
      </c>
    </row>
    <row r="82" spans="2:5" x14ac:dyDescent="0.25">
      <c r="B82" s="13" t="s">
        <v>120</v>
      </c>
      <c r="C82" s="13">
        <v>35</v>
      </c>
      <c r="D82" s="13">
        <v>3</v>
      </c>
      <c r="E82" s="5">
        <v>0.5</v>
      </c>
    </row>
    <row r="83" spans="2:5" x14ac:dyDescent="0.25">
      <c r="B83" s="13" t="s">
        <v>120</v>
      </c>
      <c r="C83" s="13">
        <v>36.5</v>
      </c>
      <c r="D83" s="13">
        <v>4.5</v>
      </c>
      <c r="E83" s="5">
        <v>0.375</v>
      </c>
    </row>
    <row r="84" spans="2:5" x14ac:dyDescent="0.25">
      <c r="B84" s="13" t="s">
        <v>120</v>
      </c>
      <c r="C84" s="13">
        <v>38</v>
      </c>
      <c r="D84" s="13">
        <v>6</v>
      </c>
      <c r="E84" s="5">
        <v>0.75</v>
      </c>
    </row>
    <row r="100" spans="2:5" x14ac:dyDescent="0.25">
      <c r="B100" s="87" t="s">
        <v>119</v>
      </c>
      <c r="C100" s="87">
        <v>0.8</v>
      </c>
      <c r="D100" s="13">
        <v>0</v>
      </c>
      <c r="E100" s="5">
        <v>0</v>
      </c>
    </row>
    <row r="101" spans="2:5" x14ac:dyDescent="0.25">
      <c r="B101" s="87" t="s">
        <v>119</v>
      </c>
      <c r="C101" s="87">
        <v>1.6</v>
      </c>
      <c r="D101" s="13">
        <v>0</v>
      </c>
      <c r="E101" s="5">
        <v>0</v>
      </c>
    </row>
    <row r="102" spans="2:5" x14ac:dyDescent="0.25">
      <c r="B102" s="87" t="s">
        <v>119</v>
      </c>
      <c r="C102" s="87">
        <v>1.9</v>
      </c>
      <c r="D102" s="13">
        <v>1.5</v>
      </c>
      <c r="E102" s="5">
        <v>0.25</v>
      </c>
    </row>
    <row r="103" spans="2:5" x14ac:dyDescent="0.25">
      <c r="B103" s="87" t="s">
        <v>119</v>
      </c>
      <c r="C103" s="87">
        <v>2</v>
      </c>
      <c r="D103" s="13">
        <v>0</v>
      </c>
      <c r="E103" s="5">
        <v>3.125E-2</v>
      </c>
    </row>
    <row r="104" spans="2:5" x14ac:dyDescent="0.25">
      <c r="B104" s="87" t="s">
        <v>119</v>
      </c>
      <c r="C104" s="87">
        <v>2.2999999999999998</v>
      </c>
      <c r="D104" s="13">
        <v>1.5</v>
      </c>
      <c r="E104" s="5">
        <v>0.6875</v>
      </c>
    </row>
    <row r="105" spans="2:5" x14ac:dyDescent="0.25">
      <c r="B105" s="87" t="s">
        <v>119</v>
      </c>
      <c r="C105" s="87">
        <v>3.4</v>
      </c>
      <c r="D105" s="13">
        <v>3</v>
      </c>
      <c r="E105" s="5">
        <v>0.3125</v>
      </c>
    </row>
    <row r="106" spans="2:5" x14ac:dyDescent="0.25">
      <c r="B106" s="87" t="s">
        <v>119</v>
      </c>
      <c r="C106" s="87">
        <v>3.5</v>
      </c>
      <c r="D106" s="13">
        <v>1.5</v>
      </c>
      <c r="E106" s="5">
        <v>0.4375</v>
      </c>
    </row>
    <row r="107" spans="2:5" x14ac:dyDescent="0.25">
      <c r="B107" s="87" t="s">
        <v>119</v>
      </c>
      <c r="C107" s="87">
        <v>3.8</v>
      </c>
      <c r="D107" s="13">
        <v>3</v>
      </c>
      <c r="E107" s="5">
        <v>0.53125</v>
      </c>
    </row>
    <row r="108" spans="2:5" x14ac:dyDescent="0.25">
      <c r="B108" s="87" t="s">
        <v>119</v>
      </c>
      <c r="C108" s="87">
        <v>4</v>
      </c>
      <c r="D108" s="13">
        <v>0</v>
      </c>
      <c r="E108" s="5">
        <v>9.375E-2</v>
      </c>
    </row>
    <row r="109" spans="2:5" x14ac:dyDescent="0.25">
      <c r="B109" s="87" t="s">
        <v>119</v>
      </c>
      <c r="C109" s="87">
        <v>5</v>
      </c>
      <c r="D109" s="13">
        <v>3</v>
      </c>
      <c r="E109" s="5">
        <v>0.70833333333333337</v>
      </c>
    </row>
    <row r="110" spans="2:5" x14ac:dyDescent="0.25">
      <c r="B110" s="87" t="s">
        <v>119</v>
      </c>
      <c r="C110" s="87">
        <v>5.5</v>
      </c>
      <c r="D110" s="13">
        <v>1.5</v>
      </c>
      <c r="E110" s="5">
        <v>0.45833333333333337</v>
      </c>
    </row>
    <row r="111" spans="2:5" x14ac:dyDescent="0.25">
      <c r="B111" s="87" t="s">
        <v>119</v>
      </c>
      <c r="C111" s="87">
        <v>6.5</v>
      </c>
      <c r="D111" s="13">
        <v>4.5</v>
      </c>
      <c r="E111" s="5">
        <v>0.625</v>
      </c>
    </row>
    <row r="112" spans="2:5" x14ac:dyDescent="0.25">
      <c r="B112" s="87" t="s">
        <v>119</v>
      </c>
      <c r="C112" s="87">
        <v>7</v>
      </c>
      <c r="D112" s="13">
        <v>3</v>
      </c>
      <c r="E112" s="5">
        <v>0.6875</v>
      </c>
    </row>
    <row r="113" spans="2:5" x14ac:dyDescent="0.25">
      <c r="B113" s="87" t="s">
        <v>119</v>
      </c>
      <c r="C113" s="87">
        <v>8</v>
      </c>
      <c r="D113" s="13">
        <v>0</v>
      </c>
      <c r="E113" s="5">
        <v>0.125</v>
      </c>
    </row>
    <row r="114" spans="2:5" x14ac:dyDescent="0.25">
      <c r="B114" s="87" t="s">
        <v>119</v>
      </c>
      <c r="C114" s="87">
        <v>8</v>
      </c>
      <c r="D114" s="13">
        <v>6</v>
      </c>
      <c r="E114" s="5">
        <v>0.75</v>
      </c>
    </row>
    <row r="115" spans="2:5" x14ac:dyDescent="0.25">
      <c r="B115" s="87" t="s">
        <v>119</v>
      </c>
      <c r="C115" s="87">
        <v>8.5</v>
      </c>
      <c r="D115" s="13">
        <v>4.5</v>
      </c>
      <c r="E115" s="5">
        <v>0.75</v>
      </c>
    </row>
    <row r="116" spans="2:5" x14ac:dyDescent="0.25">
      <c r="B116" s="87" t="s">
        <v>119</v>
      </c>
      <c r="C116" s="87">
        <v>9.5</v>
      </c>
      <c r="D116" s="13">
        <v>1.5</v>
      </c>
      <c r="E116" s="5">
        <v>0.25</v>
      </c>
    </row>
    <row r="117" spans="2:5" x14ac:dyDescent="0.25">
      <c r="B117" s="87" t="s">
        <v>119</v>
      </c>
      <c r="C117" s="87">
        <v>10</v>
      </c>
      <c r="D117" s="13">
        <v>6</v>
      </c>
      <c r="E117" s="5">
        <v>0.875</v>
      </c>
    </row>
    <row r="118" spans="2:5" x14ac:dyDescent="0.25">
      <c r="B118" s="87" t="s">
        <v>119</v>
      </c>
      <c r="C118" s="87">
        <v>11</v>
      </c>
      <c r="D118" s="13">
        <v>3</v>
      </c>
      <c r="E118" s="5">
        <v>0.5</v>
      </c>
    </row>
    <row r="119" spans="2:5" x14ac:dyDescent="0.25">
      <c r="B119" s="87" t="s">
        <v>119</v>
      </c>
      <c r="C119" s="87">
        <v>12.5</v>
      </c>
      <c r="D119" s="13">
        <v>4.5</v>
      </c>
      <c r="E119" s="5">
        <v>0.75</v>
      </c>
    </row>
    <row r="120" spans="2:5" x14ac:dyDescent="0.25">
      <c r="B120" s="87" t="s">
        <v>119</v>
      </c>
      <c r="C120" s="87">
        <v>14</v>
      </c>
      <c r="D120" s="13">
        <v>6</v>
      </c>
      <c r="E120" s="5">
        <v>0.625</v>
      </c>
    </row>
    <row r="121" spans="2:5" x14ac:dyDescent="0.25">
      <c r="B121" s="87" t="s">
        <v>119</v>
      </c>
      <c r="C121" s="87">
        <v>16</v>
      </c>
      <c r="D121" s="13">
        <v>0</v>
      </c>
      <c r="E121" s="5">
        <v>0.25</v>
      </c>
    </row>
    <row r="122" spans="2:5" x14ac:dyDescent="0.25">
      <c r="B122" s="87" t="s">
        <v>119</v>
      </c>
      <c r="C122" s="87">
        <v>17.5</v>
      </c>
      <c r="D122" s="13">
        <v>1.5</v>
      </c>
      <c r="E122" s="5">
        <v>0.375</v>
      </c>
    </row>
    <row r="123" spans="2:5" x14ac:dyDescent="0.25">
      <c r="B123" s="87" t="s">
        <v>119</v>
      </c>
      <c r="C123" s="87">
        <v>19</v>
      </c>
      <c r="D123" s="13">
        <v>3</v>
      </c>
      <c r="E123" s="5">
        <v>0.75</v>
      </c>
    </row>
    <row r="124" spans="2:5" x14ac:dyDescent="0.25">
      <c r="B124" s="87" t="s">
        <v>119</v>
      </c>
      <c r="C124" s="87">
        <v>20.5</v>
      </c>
      <c r="D124" s="13">
        <v>4.5</v>
      </c>
      <c r="E124" s="5">
        <v>0.875</v>
      </c>
    </row>
    <row r="125" spans="2:5" x14ac:dyDescent="0.25">
      <c r="B125" s="88" t="s">
        <v>119</v>
      </c>
      <c r="C125" s="87">
        <v>22</v>
      </c>
      <c r="D125" s="13">
        <v>6</v>
      </c>
      <c r="E125" s="5">
        <v>0.875</v>
      </c>
    </row>
    <row r="126" spans="2:5" x14ac:dyDescent="0.25">
      <c r="B126" s="87" t="s">
        <v>120</v>
      </c>
      <c r="C126" s="87">
        <v>4</v>
      </c>
      <c r="D126" s="13">
        <v>0</v>
      </c>
      <c r="E126" s="5">
        <v>0</v>
      </c>
    </row>
    <row r="127" spans="2:5" x14ac:dyDescent="0.25">
      <c r="B127" s="87" t="s">
        <v>120</v>
      </c>
      <c r="C127" s="87">
        <v>5.5</v>
      </c>
      <c r="D127" s="13">
        <v>1.5</v>
      </c>
      <c r="E127" s="5">
        <v>0.375</v>
      </c>
    </row>
    <row r="128" spans="2:5" x14ac:dyDescent="0.25">
      <c r="B128" s="87" t="s">
        <v>120</v>
      </c>
      <c r="C128" s="87">
        <v>7</v>
      </c>
      <c r="D128" s="13">
        <v>3</v>
      </c>
      <c r="E128" s="5">
        <v>0.375</v>
      </c>
    </row>
    <row r="129" spans="2:5" x14ac:dyDescent="0.25">
      <c r="B129" s="87" t="s">
        <v>120</v>
      </c>
      <c r="C129" s="87">
        <v>8</v>
      </c>
      <c r="D129" s="13">
        <v>0</v>
      </c>
      <c r="E129" s="5">
        <v>0</v>
      </c>
    </row>
    <row r="130" spans="2:5" x14ac:dyDescent="0.25">
      <c r="B130" s="87" t="s">
        <v>120</v>
      </c>
      <c r="C130" s="87">
        <v>9.5</v>
      </c>
      <c r="D130" s="13">
        <v>1.5</v>
      </c>
      <c r="E130" s="5">
        <v>0.25</v>
      </c>
    </row>
    <row r="131" spans="2:5" x14ac:dyDescent="0.25">
      <c r="B131" s="87" t="s">
        <v>120</v>
      </c>
      <c r="C131" s="87">
        <v>11</v>
      </c>
      <c r="D131" s="13">
        <v>3</v>
      </c>
      <c r="E131" s="5">
        <v>0.375</v>
      </c>
    </row>
    <row r="132" spans="2:5" x14ac:dyDescent="0.25">
      <c r="B132" s="87" t="s">
        <v>120</v>
      </c>
      <c r="C132" s="87">
        <v>12.5</v>
      </c>
      <c r="D132" s="13">
        <v>4.5</v>
      </c>
      <c r="E132" s="5">
        <v>0.5</v>
      </c>
    </row>
    <row r="133" spans="2:5" x14ac:dyDescent="0.25">
      <c r="B133" s="87" t="s">
        <v>120</v>
      </c>
      <c r="C133" s="87">
        <v>14</v>
      </c>
      <c r="D133" s="13">
        <v>6</v>
      </c>
      <c r="E133" s="5">
        <v>0.625</v>
      </c>
    </row>
    <row r="134" spans="2:5" x14ac:dyDescent="0.25">
      <c r="B134" s="87" t="s">
        <v>120</v>
      </c>
      <c r="C134" s="87">
        <v>16</v>
      </c>
      <c r="D134" s="13">
        <v>0</v>
      </c>
      <c r="E134" s="5">
        <v>0</v>
      </c>
    </row>
    <row r="135" spans="2:5" x14ac:dyDescent="0.25">
      <c r="B135" s="87" t="s">
        <v>120</v>
      </c>
      <c r="C135" s="87">
        <v>17.5</v>
      </c>
      <c r="D135" s="13">
        <v>1.5</v>
      </c>
      <c r="E135" s="5">
        <v>0.25</v>
      </c>
    </row>
    <row r="136" spans="2:5" x14ac:dyDescent="0.25">
      <c r="B136" s="87" t="s">
        <v>120</v>
      </c>
      <c r="C136" s="87">
        <v>19</v>
      </c>
      <c r="D136" s="13">
        <v>3</v>
      </c>
      <c r="E136" s="5">
        <v>0.5</v>
      </c>
    </row>
    <row r="137" spans="2:5" x14ac:dyDescent="0.25">
      <c r="B137" s="87" t="s">
        <v>120</v>
      </c>
      <c r="C137" s="87">
        <v>20.5</v>
      </c>
      <c r="D137" s="13">
        <v>4.5</v>
      </c>
      <c r="E137" s="5">
        <v>0.5</v>
      </c>
    </row>
    <row r="138" spans="2:5" x14ac:dyDescent="0.25">
      <c r="B138" s="87" t="s">
        <v>120</v>
      </c>
      <c r="C138" s="87">
        <v>22</v>
      </c>
      <c r="D138" s="13">
        <v>6</v>
      </c>
      <c r="E138" s="5">
        <v>0.625</v>
      </c>
    </row>
    <row r="139" spans="2:5" x14ac:dyDescent="0.25">
      <c r="B139" s="87" t="s">
        <v>120</v>
      </c>
      <c r="C139" s="87">
        <v>32</v>
      </c>
      <c r="D139" s="13">
        <v>0</v>
      </c>
      <c r="E139" s="5">
        <v>0.375</v>
      </c>
    </row>
    <row r="140" spans="2:5" x14ac:dyDescent="0.25">
      <c r="B140" s="87" t="s">
        <v>120</v>
      </c>
      <c r="C140" s="87">
        <v>33.5</v>
      </c>
      <c r="D140" s="13">
        <v>1.5</v>
      </c>
      <c r="E140" s="5">
        <v>0.25</v>
      </c>
    </row>
    <row r="141" spans="2:5" x14ac:dyDescent="0.25">
      <c r="B141" s="87" t="s">
        <v>120</v>
      </c>
      <c r="C141" s="87">
        <v>35</v>
      </c>
      <c r="D141" s="13">
        <v>3</v>
      </c>
      <c r="E141" s="5">
        <v>0.5</v>
      </c>
    </row>
    <row r="142" spans="2:5" x14ac:dyDescent="0.25">
      <c r="B142" s="87" t="s">
        <v>120</v>
      </c>
      <c r="C142" s="87">
        <v>36.5</v>
      </c>
      <c r="D142" s="13">
        <v>4.5</v>
      </c>
      <c r="E142" s="5">
        <v>0.375</v>
      </c>
    </row>
    <row r="143" spans="2:5" x14ac:dyDescent="0.25">
      <c r="B143" s="88" t="s">
        <v>120</v>
      </c>
      <c r="C143" s="87">
        <v>38</v>
      </c>
      <c r="D143" s="13">
        <v>6</v>
      </c>
      <c r="E143" s="5">
        <v>0.75</v>
      </c>
    </row>
  </sheetData>
  <mergeCells count="4">
    <mergeCell ref="K6:K9"/>
    <mergeCell ref="A6:A9"/>
    <mergeCell ref="A25:A28"/>
    <mergeCell ref="K25:K28"/>
  </mergeCells>
  <conditionalFormatting pivot="1" sqref="C6:H12">
    <cfRule type="colorScale" priority="1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pivot="1" sqref="M6:R12">
    <cfRule type="colorScale" priority="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pivot="1" sqref="C25:H29">
    <cfRule type="colorScale" priority="7">
      <colorScale>
        <cfvo type="percent" val="0"/>
        <cfvo type="percent" val="50"/>
        <cfvo type="percent" val="100"/>
        <color rgb="FFF8696B"/>
        <color rgb="FFFFEB84"/>
        <color rgb="FF63BE7B"/>
      </colorScale>
    </cfRule>
  </conditionalFormatting>
  <conditionalFormatting pivot="1" sqref="M25:R29">
    <cfRule type="colorScale" priority="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pivot="1" sqref="E41:E84">
    <cfRule type="colorScale" priority="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pivot="1" sqref="K41:K50">
    <cfRule type="colorScale" priority="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pivot="1" sqref="R41:R48">
    <cfRule type="colorScale" priority="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pivot="1" sqref="Y41:Y45">
    <cfRule type="colorScale" priority="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100:E143">
    <cfRule type="colorScale" priority="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verticalDpi="0" r:id="rId9"/>
  <drawing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86E15-ECF8-48DF-8FB5-47EA3F6D0D6A}">
  <sheetPr codeName="Sheet4"/>
  <dimension ref="B3:U27"/>
  <sheetViews>
    <sheetView showGridLines="0" zoomScale="115" zoomScaleNormal="115" workbookViewId="0">
      <selection activeCell="K16" sqref="K16"/>
    </sheetView>
  </sheetViews>
  <sheetFormatPr defaultRowHeight="15" x14ac:dyDescent="0.25"/>
  <cols>
    <col min="1" max="1" width="2.5703125" customWidth="1"/>
    <col min="2" max="3" width="10.7109375" customWidth="1"/>
    <col min="4" max="9" width="5.7109375" customWidth="1"/>
    <col min="10" max="10" width="10.7109375" customWidth="1"/>
    <col min="11" max="12" width="5.7109375" customWidth="1"/>
    <col min="13" max="13" width="10.7109375" customWidth="1"/>
    <col min="14" max="19" width="5.7109375" customWidth="1"/>
    <col min="20" max="20" width="10.7109375" customWidth="1"/>
    <col min="21" max="22" width="5.7109375" customWidth="1"/>
    <col min="26" max="26" width="10.5703125" customWidth="1"/>
  </cols>
  <sheetData>
    <row r="3" spans="2:21" ht="15.75" thickBot="1" x14ac:dyDescent="0.3"/>
    <row r="4" spans="2:21" ht="24" thickBot="1" x14ac:dyDescent="0.4">
      <c r="C4" s="77" t="s">
        <v>107</v>
      </c>
      <c r="D4" s="78"/>
      <c r="E4" s="78"/>
      <c r="F4" s="78"/>
      <c r="G4" s="78"/>
      <c r="H4" s="78"/>
      <c r="I4" s="79"/>
      <c r="M4" s="77" t="s">
        <v>108</v>
      </c>
      <c r="N4" s="78"/>
      <c r="O4" s="78"/>
      <c r="P4" s="78"/>
      <c r="Q4" s="78"/>
      <c r="R4" s="78"/>
      <c r="S4" s="79"/>
    </row>
    <row r="5" spans="2:21" ht="15" customHeight="1" x14ac:dyDescent="0.25">
      <c r="B5" s="80" t="s">
        <v>112</v>
      </c>
      <c r="C5" s="2"/>
      <c r="D5" s="3"/>
      <c r="E5" s="83" t="s">
        <v>116</v>
      </c>
      <c r="F5" s="83"/>
      <c r="G5" s="83"/>
      <c r="H5" s="83"/>
      <c r="I5" s="84"/>
      <c r="J5" s="75" t="s">
        <v>123</v>
      </c>
      <c r="K5" s="64" t="s">
        <v>122</v>
      </c>
      <c r="L5" s="3"/>
      <c r="M5" s="2"/>
      <c r="N5" s="3"/>
      <c r="O5" s="83" t="s">
        <v>116</v>
      </c>
      <c r="P5" s="83"/>
      <c r="Q5" s="83"/>
      <c r="R5" s="83"/>
      <c r="S5" s="84"/>
      <c r="T5" s="75" t="s">
        <v>123</v>
      </c>
      <c r="U5" s="65" t="s">
        <v>122</v>
      </c>
    </row>
    <row r="6" spans="2:21" ht="15" customHeight="1" x14ac:dyDescent="0.25">
      <c r="B6" s="81"/>
      <c r="C6" s="51"/>
      <c r="D6" s="43"/>
      <c r="E6" s="43">
        <v>0</v>
      </c>
      <c r="F6" s="43">
        <v>1.5</v>
      </c>
      <c r="G6" s="43">
        <v>3</v>
      </c>
      <c r="H6" s="43">
        <v>4.5</v>
      </c>
      <c r="I6" s="52">
        <v>6</v>
      </c>
      <c r="J6" s="76"/>
      <c r="K6" s="63"/>
      <c r="L6" s="44"/>
      <c r="M6" s="51"/>
      <c r="N6" s="43"/>
      <c r="O6" s="43">
        <v>0</v>
      </c>
      <c r="P6" s="43">
        <v>1.5</v>
      </c>
      <c r="Q6" s="43">
        <v>3</v>
      </c>
      <c r="R6" s="43">
        <v>4.5</v>
      </c>
      <c r="S6" s="52">
        <v>6</v>
      </c>
      <c r="T6" s="76"/>
      <c r="U6" s="66"/>
    </row>
    <row r="7" spans="2:21" ht="15" customHeight="1" x14ac:dyDescent="0.25">
      <c r="B7" s="81"/>
      <c r="C7" s="85" t="s">
        <v>114</v>
      </c>
      <c r="D7" s="55">
        <v>16</v>
      </c>
      <c r="E7" s="45">
        <v>0.25</v>
      </c>
      <c r="F7" s="45">
        <v>0.375</v>
      </c>
      <c r="G7" s="45">
        <v>0.75</v>
      </c>
      <c r="H7" s="45">
        <v>0.875</v>
      </c>
      <c r="I7" s="53">
        <v>0.875</v>
      </c>
      <c r="J7" s="69" cm="1">
        <f t="array" ref="J7">INDEX(LINEST(E7:I7,$E$6:$I$6),1)</f>
        <v>0.11666666666666668</v>
      </c>
      <c r="K7" s="69"/>
      <c r="L7" s="44"/>
      <c r="M7" s="85" t="s">
        <v>114</v>
      </c>
      <c r="N7" s="55">
        <v>16</v>
      </c>
      <c r="O7" s="45">
        <v>1</v>
      </c>
      <c r="P7" s="45">
        <v>1</v>
      </c>
      <c r="Q7" s="45">
        <v>1</v>
      </c>
      <c r="R7" s="45">
        <v>1</v>
      </c>
      <c r="S7" s="53">
        <v>1</v>
      </c>
      <c r="T7" s="72" t="s">
        <v>124</v>
      </c>
      <c r="U7" s="71"/>
    </row>
    <row r="8" spans="2:21" ht="15" customHeight="1" x14ac:dyDescent="0.25">
      <c r="B8" s="81"/>
      <c r="C8" s="85"/>
      <c r="D8" s="55">
        <v>8</v>
      </c>
      <c r="E8" s="45">
        <v>0.125</v>
      </c>
      <c r="F8" s="45">
        <v>0.25</v>
      </c>
      <c r="G8" s="45">
        <v>0.5</v>
      </c>
      <c r="H8" s="45">
        <v>0.75</v>
      </c>
      <c r="I8" s="53">
        <v>0.625</v>
      </c>
      <c r="J8" s="69" cm="1">
        <f t="array" ref="J8">INDEX(LINEST(E8:I8,$E$6:$I$6),1)</f>
        <v>9.9999999999999992E-2</v>
      </c>
      <c r="K8" s="69"/>
      <c r="L8" s="44"/>
      <c r="M8" s="85"/>
      <c r="N8" s="55">
        <v>8</v>
      </c>
      <c r="O8" s="45">
        <v>1</v>
      </c>
      <c r="P8" s="45">
        <v>1</v>
      </c>
      <c r="Q8" s="45">
        <v>1</v>
      </c>
      <c r="R8" s="45">
        <v>1</v>
      </c>
      <c r="S8" s="53">
        <v>1</v>
      </c>
      <c r="T8" s="72" t="s">
        <v>124</v>
      </c>
      <c r="U8" s="71"/>
    </row>
    <row r="9" spans="2:21" ht="15" customHeight="1" x14ac:dyDescent="0.25">
      <c r="B9" s="81"/>
      <c r="C9" s="85"/>
      <c r="D9" s="55">
        <v>4</v>
      </c>
      <c r="E9" s="45">
        <v>9.375E-2</v>
      </c>
      <c r="F9" s="45">
        <v>0.45833333333333337</v>
      </c>
      <c r="G9" s="45">
        <v>0.6875</v>
      </c>
      <c r="H9" s="45">
        <v>0.75</v>
      </c>
      <c r="I9" s="53">
        <v>0.875</v>
      </c>
      <c r="J9" s="69" cm="1">
        <f t="array" ref="J9">INDEX(LINEST(E9:I9,$E$6:$I$6),1)</f>
        <v>0.12361111111111113</v>
      </c>
      <c r="K9" s="69"/>
      <c r="L9" s="44"/>
      <c r="M9" s="85"/>
      <c r="N9" s="55">
        <v>4</v>
      </c>
      <c r="O9" s="45">
        <v>1</v>
      </c>
      <c r="P9" s="45">
        <v>0.91666666666666674</v>
      </c>
      <c r="Q9" s="45">
        <v>1</v>
      </c>
      <c r="R9" s="45">
        <v>1</v>
      </c>
      <c r="S9" s="53">
        <v>1</v>
      </c>
      <c r="T9" s="72" t="s">
        <v>124</v>
      </c>
      <c r="U9" s="71"/>
    </row>
    <row r="10" spans="2:21" ht="15" customHeight="1" x14ac:dyDescent="0.25">
      <c r="B10" s="81"/>
      <c r="C10" s="85"/>
      <c r="D10" s="55">
        <v>2</v>
      </c>
      <c r="E10" s="45">
        <v>3.125E-2</v>
      </c>
      <c r="F10" s="45">
        <v>0.4375</v>
      </c>
      <c r="G10" s="45">
        <v>0.70833333333333337</v>
      </c>
      <c r="H10" s="45">
        <v>0.625</v>
      </c>
      <c r="I10" s="53">
        <v>0.75</v>
      </c>
      <c r="J10" s="69" cm="1">
        <f t="array" ref="J10">INDEX(LINEST(E10:I10,$E$6:$I$6),1)</f>
        <v>0.10833333333333334</v>
      </c>
      <c r="K10" s="69"/>
      <c r="L10" s="44"/>
      <c r="M10" s="85"/>
      <c r="N10" s="55">
        <v>2</v>
      </c>
      <c r="O10" s="45">
        <v>1</v>
      </c>
      <c r="P10" s="45">
        <v>1</v>
      </c>
      <c r="Q10" s="45">
        <v>0.91666666666666663</v>
      </c>
      <c r="R10" s="45">
        <v>1</v>
      </c>
      <c r="S10" s="53">
        <v>1</v>
      </c>
      <c r="T10" s="72" t="s">
        <v>124</v>
      </c>
      <c r="U10" s="71"/>
    </row>
    <row r="11" spans="2:21" ht="15" customHeight="1" x14ac:dyDescent="0.25">
      <c r="B11" s="81"/>
      <c r="C11" s="85"/>
      <c r="D11" s="57">
        <v>0.8</v>
      </c>
      <c r="E11" s="45">
        <v>0</v>
      </c>
      <c r="F11" s="45">
        <v>0.6875</v>
      </c>
      <c r="G11" s="45">
        <v>0.53125</v>
      </c>
      <c r="H11" s="59"/>
      <c r="I11" s="60"/>
      <c r="J11" s="69" cm="1">
        <f t="array" ref="J11">INDEX(LINEST(E11:G11,$E$6:$G$6),1)</f>
        <v>0.17708333333333337</v>
      </c>
      <c r="K11" s="69"/>
      <c r="L11" s="44"/>
      <c r="M11" s="85"/>
      <c r="N11" s="57">
        <v>0.8</v>
      </c>
      <c r="O11" s="45">
        <v>0</v>
      </c>
      <c r="P11" s="45">
        <v>0.6875</v>
      </c>
      <c r="Q11" s="45">
        <v>0.5625</v>
      </c>
      <c r="R11" s="59"/>
      <c r="S11" s="60"/>
      <c r="T11" s="69" cm="1">
        <f t="array" ref="T11">INDEX(LINEST(O11:Q11,$O$6:$Q$6),1)</f>
        <v>0.1875</v>
      </c>
      <c r="U11" s="71"/>
    </row>
    <row r="12" spans="2:21" ht="15" customHeight="1" thickBot="1" x14ac:dyDescent="0.3">
      <c r="B12" s="82"/>
      <c r="C12" s="86"/>
      <c r="D12" s="58">
        <v>0.4</v>
      </c>
      <c r="E12" s="61"/>
      <c r="F12" s="50">
        <v>0.25</v>
      </c>
      <c r="G12" s="50">
        <v>0.3125</v>
      </c>
      <c r="H12" s="61"/>
      <c r="I12" s="62"/>
      <c r="J12" s="70" cm="1">
        <f t="array" ref="J12">INDEX(LINEST(F12:G12,$F$6:$G$6),1)</f>
        <v>4.1666666666666678E-2</v>
      </c>
      <c r="K12" s="70">
        <f>AVERAGE(J7:J12)</f>
        <v>0.11122685185185187</v>
      </c>
      <c r="L12" s="49"/>
      <c r="M12" s="86"/>
      <c r="N12" s="58">
        <v>0.4</v>
      </c>
      <c r="O12" s="61"/>
      <c r="P12" s="50">
        <v>0</v>
      </c>
      <c r="Q12" s="50">
        <v>0.125</v>
      </c>
      <c r="R12" s="61"/>
      <c r="S12" s="62"/>
      <c r="T12" s="70" cm="1">
        <f t="array" ref="T12">INDEX(LINEST(P12:Q12,$P$6:$Q$6),1)</f>
        <v>8.3333333333333356E-2</v>
      </c>
      <c r="U12" s="73">
        <f>AVERAGE(T11:T12)</f>
        <v>0.13541666666666669</v>
      </c>
    </row>
    <row r="13" spans="2:21" ht="15" customHeight="1" x14ac:dyDescent="0.25">
      <c r="B13" s="46"/>
      <c r="C13" s="51"/>
      <c r="D13" s="63" t="s">
        <v>121</v>
      </c>
      <c r="E13" s="69" cm="1">
        <f t="array" ref="E13">INDEX((LINEST(E7:E11,$D$7:$D$11)),1)</f>
        <v>1.5621686810856661E-2</v>
      </c>
      <c r="F13" s="69" cm="1">
        <f t="array" ref="F13">INDEX((LINEST(F7:F12,$D$7:$D$12)),1)</f>
        <v>-7.9805107526881736E-3</v>
      </c>
      <c r="G13" s="69" cm="1">
        <f t="array" ref="G13">INDEX((LINEST(G7:G12,$D$7:$D$12)),1)</f>
        <v>1.4397588112305855E-2</v>
      </c>
      <c r="H13" s="69" cm="1">
        <f t="array" ref="H13">INDEX((LINEST(H7:H10,$D$7:$D$10)),1)</f>
        <v>1.5217391304347825E-2</v>
      </c>
      <c r="I13" s="71" cm="1">
        <f t="array" ref="I13">INDEX((LINEST(I7:I10,$D$7:$D$10)),1)</f>
        <v>4.8913043478260821E-3</v>
      </c>
      <c r="J13" s="44"/>
      <c r="K13" s="44"/>
      <c r="L13" s="44"/>
      <c r="M13" s="51"/>
      <c r="N13" s="63" t="s">
        <v>121</v>
      </c>
      <c r="O13" s="69" cm="1">
        <f t="array" ref="O13">INDEX((LINEST(O7:O11,$N$7:$N$11)),1)</f>
        <v>3.5517387616624256E-2</v>
      </c>
      <c r="P13" s="69" cm="1">
        <f t="array" ref="P13">INDEX((LINEST(P7:P12,$N$7:$N$12)),1)</f>
        <v>3.5142249103942653E-2</v>
      </c>
      <c r="Q13" s="69" cm="1">
        <f t="array" ref="Q13">INDEX((LINEST(Q7:Q12,$N$7:$N$12)),1)</f>
        <v>3.5795624253285543E-2</v>
      </c>
      <c r="R13" s="69" cm="1">
        <f t="array" ref="R13">INDEX((LINEST(R7:R10,$N$7:$N$10)),1)</f>
        <v>0</v>
      </c>
      <c r="S13" s="71" cm="1">
        <f t="array" ref="S13">INDEX((LINEST(S7:S10,$N$7:$N$10)),1)</f>
        <v>0</v>
      </c>
      <c r="T13" s="44"/>
      <c r="U13" s="44"/>
    </row>
    <row r="14" spans="2:21" ht="15" customHeight="1" x14ac:dyDescent="0.25">
      <c r="B14" s="46"/>
      <c r="C14" s="51"/>
      <c r="D14" s="63" t="s">
        <v>122</v>
      </c>
      <c r="E14" s="69"/>
      <c r="F14" s="69"/>
      <c r="G14" s="69"/>
      <c r="H14" s="69"/>
      <c r="I14" s="71">
        <f>AVERAGE(E13:I13)</f>
        <v>8.4294919645296496E-3</v>
      </c>
      <c r="J14" s="44"/>
      <c r="K14" s="44"/>
      <c r="L14" s="44"/>
      <c r="M14" s="51"/>
      <c r="N14" s="63" t="s">
        <v>122</v>
      </c>
      <c r="O14" s="69"/>
      <c r="P14" s="69"/>
      <c r="Q14" s="69"/>
      <c r="R14" s="69"/>
      <c r="S14" s="71">
        <f>AVERAGE(O13:S13)</f>
        <v>2.1291052194770489E-2</v>
      </c>
      <c r="T14" s="44"/>
      <c r="U14" s="44"/>
    </row>
    <row r="15" spans="2:21" ht="15" customHeight="1" x14ac:dyDescent="0.25">
      <c r="B15" s="46"/>
      <c r="C15" s="51"/>
      <c r="D15" s="44"/>
      <c r="E15" s="44"/>
      <c r="F15" s="44"/>
      <c r="G15" s="44"/>
      <c r="H15" s="44"/>
      <c r="I15" s="48"/>
      <c r="J15" s="44"/>
      <c r="K15" s="44"/>
      <c r="L15" s="44"/>
      <c r="M15" s="51"/>
      <c r="N15" s="44"/>
      <c r="O15" s="44"/>
      <c r="P15" s="44"/>
      <c r="Q15" s="44"/>
      <c r="R15" s="44"/>
      <c r="S15" s="48"/>
      <c r="T15" s="44"/>
      <c r="U15" s="44"/>
    </row>
    <row r="16" spans="2:21" ht="15" customHeight="1" x14ac:dyDescent="0.25">
      <c r="B16" s="46"/>
      <c r="C16" s="51"/>
      <c r="D16" s="44"/>
      <c r="E16" s="44"/>
      <c r="F16" s="44"/>
      <c r="G16" s="44"/>
      <c r="H16" s="44"/>
      <c r="I16" s="48"/>
      <c r="J16" s="44"/>
      <c r="K16" s="44"/>
      <c r="L16" s="44"/>
      <c r="M16" s="51"/>
      <c r="N16" s="44"/>
      <c r="O16" s="44"/>
      <c r="P16" s="44"/>
      <c r="Q16" s="44"/>
      <c r="R16" s="44"/>
      <c r="S16" s="48"/>
      <c r="T16" s="44"/>
      <c r="U16" s="44"/>
    </row>
    <row r="17" spans="2:21" ht="15.75" thickBot="1" x14ac:dyDescent="0.3">
      <c r="C17" s="51"/>
      <c r="D17" s="44"/>
      <c r="E17" s="44"/>
      <c r="F17" s="44"/>
      <c r="G17" s="44"/>
      <c r="H17" s="44"/>
      <c r="I17" s="48"/>
      <c r="J17" s="44"/>
      <c r="K17" s="44"/>
      <c r="L17" s="44"/>
      <c r="M17" s="51"/>
      <c r="N17" s="44"/>
      <c r="O17" s="44"/>
      <c r="P17" s="44"/>
      <c r="Q17" s="44"/>
      <c r="R17" s="44"/>
      <c r="S17" s="48"/>
      <c r="T17" s="44"/>
      <c r="U17" s="44"/>
    </row>
    <row r="18" spans="2:21" x14ac:dyDescent="0.25">
      <c r="B18" s="80" t="s">
        <v>113</v>
      </c>
      <c r="C18" s="2"/>
      <c r="D18" s="3"/>
      <c r="E18" s="83" t="s">
        <v>116</v>
      </c>
      <c r="F18" s="83"/>
      <c r="G18" s="83"/>
      <c r="H18" s="83"/>
      <c r="I18" s="84"/>
      <c r="J18" s="75" t="s">
        <v>123</v>
      </c>
      <c r="K18" s="64" t="s">
        <v>122</v>
      </c>
      <c r="L18" s="3"/>
      <c r="M18" s="2"/>
      <c r="N18" s="3"/>
      <c r="O18" s="83" t="s">
        <v>116</v>
      </c>
      <c r="P18" s="83"/>
      <c r="Q18" s="83"/>
      <c r="R18" s="83"/>
      <c r="S18" s="84"/>
      <c r="T18" s="75" t="s">
        <v>123</v>
      </c>
      <c r="U18" s="65" t="s">
        <v>122</v>
      </c>
    </row>
    <row r="19" spans="2:21" x14ac:dyDescent="0.25">
      <c r="B19" s="81"/>
      <c r="C19" s="51"/>
      <c r="D19" s="43"/>
      <c r="E19" s="43">
        <v>0</v>
      </c>
      <c r="F19" s="43">
        <v>1.5</v>
      </c>
      <c r="G19" s="43">
        <v>3</v>
      </c>
      <c r="H19" s="43">
        <v>4.5</v>
      </c>
      <c r="I19" s="52">
        <v>6</v>
      </c>
      <c r="J19" s="76"/>
      <c r="K19" s="63"/>
      <c r="L19" s="44"/>
      <c r="M19" s="51"/>
      <c r="N19" s="43"/>
      <c r="O19" s="43">
        <v>0</v>
      </c>
      <c r="P19" s="43">
        <v>1.5</v>
      </c>
      <c r="Q19" s="43">
        <v>3</v>
      </c>
      <c r="R19" s="43">
        <v>4.5</v>
      </c>
      <c r="S19" s="52">
        <v>6</v>
      </c>
      <c r="T19" s="76"/>
      <c r="U19" s="66"/>
    </row>
    <row r="20" spans="2:21" ht="15" customHeight="1" x14ac:dyDescent="0.25">
      <c r="B20" s="81"/>
      <c r="C20" s="85" t="s">
        <v>115</v>
      </c>
      <c r="D20" s="55">
        <v>32</v>
      </c>
      <c r="E20" s="45">
        <v>0.375</v>
      </c>
      <c r="F20" s="45">
        <v>0.25</v>
      </c>
      <c r="G20" s="45">
        <v>0.5</v>
      </c>
      <c r="H20" s="45">
        <v>0.375</v>
      </c>
      <c r="I20" s="53">
        <v>0.75</v>
      </c>
      <c r="J20" s="69" cm="1">
        <f t="array" ref="J20">INDEX(LINEST(E20:I20,$E$19:$I$19),1)</f>
        <v>5.833333333333332E-2</v>
      </c>
      <c r="K20" s="69"/>
      <c r="L20" s="44"/>
      <c r="M20" s="85" t="s">
        <v>115</v>
      </c>
      <c r="N20" s="55">
        <v>32</v>
      </c>
      <c r="O20" s="45">
        <v>0.75</v>
      </c>
      <c r="P20" s="45">
        <v>1</v>
      </c>
      <c r="Q20" s="45">
        <v>1</v>
      </c>
      <c r="R20" s="45">
        <v>1</v>
      </c>
      <c r="S20" s="53">
        <v>1</v>
      </c>
      <c r="T20" s="72" t="s">
        <v>124</v>
      </c>
      <c r="U20" s="71"/>
    </row>
    <row r="21" spans="2:21" x14ac:dyDescent="0.25">
      <c r="B21" s="81"/>
      <c r="C21" s="85"/>
      <c r="D21" s="55">
        <v>16</v>
      </c>
      <c r="E21" s="45">
        <v>0</v>
      </c>
      <c r="F21" s="45">
        <v>0.25</v>
      </c>
      <c r="G21" s="45">
        <v>0.5</v>
      </c>
      <c r="H21" s="45">
        <v>0.5</v>
      </c>
      <c r="I21" s="53">
        <v>0.625</v>
      </c>
      <c r="J21" s="69" cm="1">
        <f t="array" ref="J21">INDEX(LINEST(E21:I21,$E$19:$I$19),1)</f>
        <v>9.9999999999999992E-2</v>
      </c>
      <c r="K21" s="69"/>
      <c r="L21" s="44"/>
      <c r="M21" s="85"/>
      <c r="N21" s="55">
        <v>16</v>
      </c>
      <c r="O21" s="45">
        <v>1</v>
      </c>
      <c r="P21" s="45">
        <v>0.75</v>
      </c>
      <c r="Q21" s="45">
        <v>1</v>
      </c>
      <c r="R21" s="45">
        <v>1</v>
      </c>
      <c r="S21" s="53">
        <v>1</v>
      </c>
      <c r="T21" s="72" t="s">
        <v>124</v>
      </c>
      <c r="U21" s="71"/>
    </row>
    <row r="22" spans="2:21" x14ac:dyDescent="0.25">
      <c r="B22" s="81"/>
      <c r="C22" s="85"/>
      <c r="D22" s="55">
        <v>8</v>
      </c>
      <c r="E22" s="45">
        <v>0</v>
      </c>
      <c r="F22" s="45">
        <v>0.25</v>
      </c>
      <c r="G22" s="45">
        <v>0.375</v>
      </c>
      <c r="H22" s="45">
        <v>0.5</v>
      </c>
      <c r="I22" s="53">
        <v>0.625</v>
      </c>
      <c r="J22" s="69" cm="1">
        <f t="array" ref="J22">INDEX(LINEST(E22:I22,$E$19:$I$19),1)</f>
        <v>0.10000000000000003</v>
      </c>
      <c r="K22" s="69"/>
      <c r="L22" s="44"/>
      <c r="M22" s="85"/>
      <c r="N22" s="55">
        <v>8</v>
      </c>
      <c r="O22" s="45">
        <v>0.75</v>
      </c>
      <c r="P22" s="45">
        <v>1</v>
      </c>
      <c r="Q22" s="45">
        <v>1</v>
      </c>
      <c r="R22" s="45">
        <v>1</v>
      </c>
      <c r="S22" s="53">
        <v>1</v>
      </c>
      <c r="T22" s="72" t="s">
        <v>124</v>
      </c>
      <c r="U22" s="71"/>
    </row>
    <row r="23" spans="2:21" ht="15.75" thickBot="1" x14ac:dyDescent="0.3">
      <c r="B23" s="82"/>
      <c r="C23" s="86"/>
      <c r="D23" s="56">
        <v>4</v>
      </c>
      <c r="E23" s="50">
        <v>0</v>
      </c>
      <c r="F23" s="50">
        <v>0.375</v>
      </c>
      <c r="G23" s="50">
        <v>0.375</v>
      </c>
      <c r="H23" s="61"/>
      <c r="I23" s="62"/>
      <c r="J23" s="70" cm="1">
        <f t="array" ref="J23">INDEX(LINEST(E23:G23,$E$19:$G$19),1)</f>
        <v>0.125</v>
      </c>
      <c r="K23" s="70">
        <f>AVERAGE(J18:J23)</f>
        <v>9.583333333333334E-2</v>
      </c>
      <c r="L23" s="49"/>
      <c r="M23" s="86"/>
      <c r="N23" s="56">
        <v>4</v>
      </c>
      <c r="O23" s="50">
        <v>0</v>
      </c>
      <c r="P23" s="50">
        <v>0.625</v>
      </c>
      <c r="Q23" s="50">
        <v>1</v>
      </c>
      <c r="R23" s="61"/>
      <c r="S23" s="62"/>
      <c r="T23" s="70" cm="1">
        <f t="array" ref="T23">INDEX(LINEST(O23:Q23,$O$19:$Q$19),1)</f>
        <v>0.33333333333333331</v>
      </c>
      <c r="U23" s="73">
        <f>AVERAGE(T18:T23)</f>
        <v>0.33333333333333331</v>
      </c>
    </row>
    <row r="24" spans="2:21" x14ac:dyDescent="0.25">
      <c r="C24" s="51"/>
      <c r="D24" s="63" t="s">
        <v>121</v>
      </c>
      <c r="E24" s="69" cm="1">
        <f t="array" ref="E24">INDEX((LINEST(E20:E23,$D$20:$D$23)),1)</f>
        <v>1.3858695652173911E-2</v>
      </c>
      <c r="F24" s="69" cm="1">
        <f t="array" ref="F24">INDEX((LINEST(F20:F23,$D$20:$D$23)),1)</f>
        <v>-2.9891304347826084E-3</v>
      </c>
      <c r="G24" s="69" cm="1">
        <f t="array" ref="G24">INDEX((LINEST(G20:G23,$D$20:$D$23)),1)</f>
        <v>4.8913043478260856E-3</v>
      </c>
      <c r="H24" s="69" cm="1">
        <f t="array" ref="H24">INDEX((LINEST(H20:H22,$D$20:$D$22)),1)</f>
        <v>-5.580357142857143E-3</v>
      </c>
      <c r="I24" s="71" cm="1">
        <f t="array" ref="I24">INDEX((LINEST(I20:I22,$D$20:$D$22)),1)</f>
        <v>5.580357142857143E-3</v>
      </c>
      <c r="M24" s="51"/>
      <c r="N24" s="63" t="s">
        <v>121</v>
      </c>
      <c r="O24" s="69" cm="1">
        <f t="array" ref="O24">INDEX((LINEST(O20:O23,$N$20:$N$23)),1)</f>
        <v>1.8478260869565211E-2</v>
      </c>
      <c r="P24" s="69" cm="1">
        <f t="array" ref="P24">INDEX((LINEST(P20:P23,$N$20:$N$23)),1)</f>
        <v>8.4239130434782573E-3</v>
      </c>
      <c r="Q24" s="69" cm="1">
        <f t="array" ref="Q24">INDEX((LINEST(Q20:Q23,$N$20:$N$23)),1)</f>
        <v>0</v>
      </c>
      <c r="R24" s="69" cm="1">
        <f t="array" ref="R24">INDEX((LINEST(R20:R22,$N$20:$N$22)),1)</f>
        <v>0</v>
      </c>
      <c r="S24" s="71" cm="1">
        <f t="array" ref="S24">INDEX((LINEST(S20:S22,$N$20:$N$22)),1)</f>
        <v>0</v>
      </c>
    </row>
    <row r="25" spans="2:21" ht="15.75" thickBot="1" x14ac:dyDescent="0.3">
      <c r="C25" s="67"/>
      <c r="D25" s="68" t="s">
        <v>122</v>
      </c>
      <c r="E25" s="70"/>
      <c r="F25" s="70"/>
      <c r="G25" s="70"/>
      <c r="H25" s="70"/>
      <c r="I25" s="73">
        <f>AVERAGE(E24:I24)</f>
        <v>3.1521739130434775E-3</v>
      </c>
      <c r="M25" s="67"/>
      <c r="N25" s="68" t="s">
        <v>122</v>
      </c>
      <c r="O25" s="70"/>
      <c r="P25" s="70"/>
      <c r="Q25" s="70"/>
      <c r="R25" s="70"/>
      <c r="S25" s="73">
        <f>AVERAGE(O24:S24)</f>
        <v>5.3804347826086939E-3</v>
      </c>
    </row>
    <row r="27" spans="2:21" x14ac:dyDescent="0.25">
      <c r="B27" t="s">
        <v>109</v>
      </c>
    </row>
  </sheetData>
  <mergeCells count="16">
    <mergeCell ref="T5:T6"/>
    <mergeCell ref="T18:T19"/>
    <mergeCell ref="C4:I4"/>
    <mergeCell ref="M4:S4"/>
    <mergeCell ref="B18:B23"/>
    <mergeCell ref="B5:B12"/>
    <mergeCell ref="E5:I5"/>
    <mergeCell ref="C7:C12"/>
    <mergeCell ref="E18:I18"/>
    <mergeCell ref="O5:S5"/>
    <mergeCell ref="O18:S18"/>
    <mergeCell ref="M7:M12"/>
    <mergeCell ref="C20:C23"/>
    <mergeCell ref="M20:M23"/>
    <mergeCell ref="J5:J6"/>
    <mergeCell ref="J18:J19"/>
  </mergeCells>
  <conditionalFormatting sqref="E7:I12 O7:S12 O20:S23 E20:I23 O26:S26 O25:R25">
    <cfRule type="colorScale" priority="2">
      <colorScale>
        <cfvo type="percent" val="0"/>
        <cfvo type="percent" val="50"/>
        <cfvo type="percent" val="100"/>
        <color rgb="FFF8696B"/>
        <color theme="0"/>
        <color rgb="FF00B050"/>
      </colorScale>
    </cfRule>
  </conditionalFormatting>
  <pageMargins left="0.7" right="0.7" top="0.75" bottom="0.75" header="0.3" footer="0.3"/>
  <pageSetup orientation="portrait" verticalDpi="0" r:id="rId1"/>
  <ignoredErrors>
    <ignoredError sqref="H13:I13 J7:J12 T11:T12 E13:G13 O13:S13 J20:J23 E24:I24 O24:T24 O20:S20 O21:S21 O22:S22 O23:T23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7F5CE-89E7-4D68-824F-9BCAF7DB130A}">
  <dimension ref="A1"/>
  <sheetViews>
    <sheetView workbookViewId="0">
      <selection activeCell="K25" sqref="K25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0BFD81-650D-4A12-8625-1A240116F0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 Results</vt:lpstr>
      <vt:lpstr>Main</vt:lpstr>
      <vt:lpstr>Pivot Tables</vt:lpstr>
      <vt:lpstr>Summary</vt:lpstr>
      <vt:lpstr>VOID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Walker</dc:creator>
  <cp:lastModifiedBy>Joshua Walker</cp:lastModifiedBy>
  <dcterms:created xsi:type="dcterms:W3CDTF">2021-07-07T14:35:01Z</dcterms:created>
  <dcterms:modified xsi:type="dcterms:W3CDTF">2021-07-13T13:45:17Z</dcterms:modified>
</cp:coreProperties>
</file>